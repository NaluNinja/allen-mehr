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llenmehr/Documents/GitHub/allen-mehr/analysis/"/>
    </mc:Choice>
  </mc:AlternateContent>
  <xr:revisionPtr revIDLastSave="0" documentId="13_ncr:1_{796D2F9F-C186-FC42-91E7-BD92F2414DC4}" xr6:coauthVersionLast="47" xr6:coauthVersionMax="47" xr10:uidLastSave="{00000000-0000-0000-0000-000000000000}"/>
  <bookViews>
    <workbookView xWindow="0" yWindow="660" windowWidth="34560" windowHeight="19060" tabRatio="500" xr2:uid="{00000000-000D-0000-FFFF-FFFF00000000}"/>
  </bookViews>
  <sheets>
    <sheet name="Required Uplif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8" i="1" l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D14" i="1"/>
  <c r="C14" i="1"/>
  <c r="B14" i="1"/>
  <c r="C10" i="1"/>
  <c r="C9" i="1"/>
  <c r="C8" i="1"/>
  <c r="F15" i="1"/>
  <c r="F14" i="1"/>
</calcChain>
</file>

<file path=xl/sharedStrings.xml><?xml version="1.0" encoding="utf-8"?>
<sst xmlns="http://schemas.openxmlformats.org/spreadsheetml/2006/main" count="21" uniqueCount="17">
  <si>
    <t>Required uplift u by scenario</t>
  </si>
  <si>
    <t>u is a fraction (1.0 = 100%), floored at zero. R = revenue, $1M to $25M.</t>
  </si>
  <si>
    <t>Zero-uplift revenue = E(CC) / divisor</t>
  </si>
  <si>
    <t>Divisor</t>
  </si>
  <si>
    <t>Scenario</t>
  </si>
  <si>
    <t>E(CC)</t>
  </si>
  <si>
    <t>Zero-uplift revenue</t>
  </si>
  <si>
    <t>Low</t>
  </si>
  <si>
    <t>Medium</t>
  </si>
  <si>
    <t>High</t>
  </si>
  <si>
    <t>Selected required uplift u</t>
  </si>
  <si>
    <t>R ($)</t>
  </si>
  <si>
    <t>Notes:</t>
  </si>
  <si>
    <t>Blue = black = formula. Yellow = divisor assumption (0.58, as given).</t>
  </si>
  <si>
    <t>Revenue runs from $1M through $25M in $1M steps</t>
  </si>
  <si>
    <t>Medium break-even marker (vertical line on chart)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</si>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</sst>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0.0000;\-0.0000;0"/>
    <numFmt numFmtId="167" formatCode="&quot;$&quot;#,##0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Calibri"/>
      <family val="2"/>
      <charset val="1"/>
    </font>
    <font>
      <sz val="11"/>
      <color rgb="FF595959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5" fillId="2" borderId="0" xfId="0" applyNumberFormat="1" applyFont="1" applyFill="1"/>
    <xf numFmtId="0" fontId="3" fillId="3" borderId="1" xfId="0" applyFont="1" applyFill="1" applyBorder="1"/>
    <xf numFmtId="0" fontId="4" fillId="0" borderId="1" xfId="0" applyFont="1" applyBorder="1"/>
    <xf numFmtId="164" fontId="5" fillId="0" borderId="1" xfId="0" applyNumberFormat="1" applyFont="1" applyBorder="1"/>
    <xf numFmtId="165" fontId="4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0" fontId="6" fillId="4" borderId="1" xfId="0" applyFont="1" applyFill="1" applyBorder="1" applyAlignment="1">
      <alignment horizontal="center"/>
    </xf>
    <xf numFmtId="167" fontId="0" fillId="0" borderId="0" xfId="0" applyNumberFormat="1"/>
    <xf numFmtId="166" fontId="0" fillId="0" borderId="0" xfId="0" applyNumberFormat="1"/>
    <xf numFmtId="167" fontId="3" fillId="0" borderId="0" xfId="0" applyNumberFormat="1" applyFont="1"/>
    <xf numFmtId="167" fontId="4" fillId="0" borderId="0" xfId="0" applyNumberFormat="1" applyFont="1"/>
    <xf numFmtId="167" fontId="0" fillId="0" borderId="2" xfId="0" applyNumberFormat="1" applyBorder="1"/>
    <xf numFmtId="166" fontId="0" fillId="0" borderId="2" xfId="0" applyNumberFormat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Required Uplift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26262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Low entry cost (ASPE)</c:v>
          </c:tx>
          <c:spPr>
            <a:ln w="28575" cap="rnd">
              <a:solidFill>
                <a:srgbClr val="A6A6A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'Required Uplift'!$A$14:$A$38</c:f>
              <c:numCache>
                <c:formatCode>"$"#,##0</c:formatCode>
                <c:ptCount val="25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  <c:pt idx="8">
                  <c:v>9000000</c:v>
                </c:pt>
                <c:pt idx="9">
                  <c:v>10000000</c:v>
                </c:pt>
                <c:pt idx="10">
                  <c:v>11000000</c:v>
                </c:pt>
                <c:pt idx="11">
                  <c:v>12000000</c:v>
                </c:pt>
                <c:pt idx="12">
                  <c:v>13000000</c:v>
                </c:pt>
                <c:pt idx="13">
                  <c:v>14000000</c:v>
                </c:pt>
                <c:pt idx="14">
                  <c:v>15000000</c:v>
                </c:pt>
                <c:pt idx="15">
                  <c:v>16000000</c:v>
                </c:pt>
                <c:pt idx="16">
                  <c:v>17000000</c:v>
                </c:pt>
                <c:pt idx="17">
                  <c:v>18000000</c:v>
                </c:pt>
                <c:pt idx="18">
                  <c:v>19000000</c:v>
                </c:pt>
                <c:pt idx="19">
                  <c:v>20000000</c:v>
                </c:pt>
                <c:pt idx="20">
                  <c:v>21000000</c:v>
                </c:pt>
                <c:pt idx="21">
                  <c:v>22000000</c:v>
                </c:pt>
                <c:pt idx="22">
                  <c:v>23000000</c:v>
                </c:pt>
                <c:pt idx="23">
                  <c:v>24000000</c:v>
                </c:pt>
                <c:pt idx="24">
                  <c:v>25000000</c:v>
                </c:pt>
              </c:numCache>
            </c:numRef>
          </c:xVal>
          <c:yVal>
            <c:numRef>
              <c:f>'Required Uplift'!$B$14:$B$38</c:f>
              <c:numCache>
                <c:formatCode>0.0000;\-0.0000;0</c:formatCode>
                <c:ptCount val="25"/>
                <c:pt idx="0">
                  <c:v>5.3415039999999996</c:v>
                </c:pt>
                <c:pt idx="1">
                  <c:v>2.3807519999999998</c:v>
                </c:pt>
                <c:pt idx="2">
                  <c:v>1.3938346666666668</c:v>
                </c:pt>
                <c:pt idx="3">
                  <c:v>0.90037599999999995</c:v>
                </c:pt>
                <c:pt idx="4">
                  <c:v>0.60430079999999997</c:v>
                </c:pt>
                <c:pt idx="5">
                  <c:v>0.40691733333333335</c:v>
                </c:pt>
                <c:pt idx="6">
                  <c:v>0.26592914285714286</c:v>
                </c:pt>
                <c:pt idx="7">
                  <c:v>0.160188</c:v>
                </c:pt>
                <c:pt idx="8">
                  <c:v>7.7944888888888952E-2</c:v>
                </c:pt>
                <c:pt idx="9">
                  <c:v>1.2150400000000006E-2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20-0D4E-8F09-FA18DAC6E71F}"/>
            </c:ext>
          </c:extLst>
        </c:ser>
        <c:ser>
          <c:idx val="2"/>
          <c:order val="1"/>
          <c:tx>
            <c:v>Medium entry cost (ASPE)</c:v>
          </c:tx>
          <c:spPr>
            <a:ln w="28575" cap="rnd">
              <a:solidFill>
                <a:srgbClr val="5B6573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'Required Uplift'!$A$14:$A$38</c:f>
              <c:numCache>
                <c:formatCode>"$"#,##0</c:formatCode>
                <c:ptCount val="25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  <c:pt idx="8">
                  <c:v>9000000</c:v>
                </c:pt>
                <c:pt idx="9">
                  <c:v>10000000</c:v>
                </c:pt>
                <c:pt idx="10">
                  <c:v>11000000</c:v>
                </c:pt>
                <c:pt idx="11">
                  <c:v>12000000</c:v>
                </c:pt>
                <c:pt idx="12">
                  <c:v>13000000</c:v>
                </c:pt>
                <c:pt idx="13">
                  <c:v>14000000</c:v>
                </c:pt>
                <c:pt idx="14">
                  <c:v>15000000</c:v>
                </c:pt>
                <c:pt idx="15">
                  <c:v>16000000</c:v>
                </c:pt>
                <c:pt idx="16">
                  <c:v>17000000</c:v>
                </c:pt>
                <c:pt idx="17">
                  <c:v>18000000</c:v>
                </c:pt>
                <c:pt idx="18">
                  <c:v>19000000</c:v>
                </c:pt>
                <c:pt idx="19">
                  <c:v>20000000</c:v>
                </c:pt>
                <c:pt idx="20">
                  <c:v>21000000</c:v>
                </c:pt>
                <c:pt idx="21">
                  <c:v>22000000</c:v>
                </c:pt>
                <c:pt idx="22">
                  <c:v>23000000</c:v>
                </c:pt>
                <c:pt idx="23">
                  <c:v>24000000</c:v>
                </c:pt>
                <c:pt idx="24">
                  <c:v>25000000</c:v>
                </c:pt>
              </c:numCache>
            </c:numRef>
          </c:xVal>
          <c:yVal>
            <c:numRef>
              <c:f>'Required Uplift'!$C$14:$C$38</c:f>
              <c:numCache>
                <c:formatCode>0.0000;\-0.0000;0</c:formatCode>
                <c:ptCount val="25"/>
                <c:pt idx="0">
                  <c:v>8.5840820000000004</c:v>
                </c:pt>
                <c:pt idx="1">
                  <c:v>4.0020410000000002</c:v>
                </c:pt>
                <c:pt idx="2">
                  <c:v>2.4746939999999999</c:v>
                </c:pt>
                <c:pt idx="3">
                  <c:v>1.7110205000000001</c:v>
                </c:pt>
                <c:pt idx="4">
                  <c:v>1.2528163999999999</c:v>
                </c:pt>
                <c:pt idx="5">
                  <c:v>0.94734700000000005</c:v>
                </c:pt>
                <c:pt idx="6">
                  <c:v>0.72915457142857154</c:v>
                </c:pt>
                <c:pt idx="7">
                  <c:v>0.5655102500000001</c:v>
                </c:pt>
                <c:pt idx="8">
                  <c:v>0.43823133333333331</c:v>
                </c:pt>
                <c:pt idx="9">
                  <c:v>0.33640820000000005</c:v>
                </c:pt>
                <c:pt idx="10">
                  <c:v>0.25309836363636362</c:v>
                </c:pt>
                <c:pt idx="11">
                  <c:v>0.18367350000000005</c:v>
                </c:pt>
                <c:pt idx="12">
                  <c:v>0.12492938461538461</c:v>
                </c:pt>
                <c:pt idx="13">
                  <c:v>7.457728571428579E-2</c:v>
                </c:pt>
                <c:pt idx="14">
                  <c:v>3.0938800000000044E-2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20-0D4E-8F09-FA18DAC6E71F}"/>
            </c:ext>
          </c:extLst>
        </c:ser>
        <c:ser>
          <c:idx val="3"/>
          <c:order val="2"/>
          <c:tx>
            <c:v>High entry cost (ASPE)</c:v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'Required Uplift'!$A$14:$A$38</c:f>
              <c:numCache>
                <c:formatCode>"$"#,##0</c:formatCode>
                <c:ptCount val="25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  <c:pt idx="8">
                  <c:v>9000000</c:v>
                </c:pt>
                <c:pt idx="9">
                  <c:v>10000000</c:v>
                </c:pt>
                <c:pt idx="10">
                  <c:v>11000000</c:v>
                </c:pt>
                <c:pt idx="11">
                  <c:v>12000000</c:v>
                </c:pt>
                <c:pt idx="12">
                  <c:v>13000000</c:v>
                </c:pt>
                <c:pt idx="13">
                  <c:v>14000000</c:v>
                </c:pt>
                <c:pt idx="14">
                  <c:v>15000000</c:v>
                </c:pt>
                <c:pt idx="15">
                  <c:v>16000000</c:v>
                </c:pt>
                <c:pt idx="16">
                  <c:v>17000000</c:v>
                </c:pt>
                <c:pt idx="17">
                  <c:v>18000000</c:v>
                </c:pt>
                <c:pt idx="18">
                  <c:v>19000000</c:v>
                </c:pt>
                <c:pt idx="19">
                  <c:v>20000000</c:v>
                </c:pt>
                <c:pt idx="20">
                  <c:v>21000000</c:v>
                </c:pt>
                <c:pt idx="21">
                  <c:v>22000000</c:v>
                </c:pt>
                <c:pt idx="22">
                  <c:v>23000000</c:v>
                </c:pt>
                <c:pt idx="23">
                  <c:v>24000000</c:v>
                </c:pt>
                <c:pt idx="24">
                  <c:v>25000000</c:v>
                </c:pt>
              </c:numCache>
            </c:numRef>
          </c:xVal>
          <c:yVal>
            <c:numRef>
              <c:f>'Required Uplift'!$D$14:$D$38</c:f>
              <c:numCache>
                <c:formatCode>0.0000;\-0.0000;0</c:formatCode>
                <c:ptCount val="25"/>
                <c:pt idx="0">
                  <c:v>11.638776999999999</c:v>
                </c:pt>
                <c:pt idx="1">
                  <c:v>5.5293884999999996</c:v>
                </c:pt>
                <c:pt idx="2">
                  <c:v>3.4929256666666664</c:v>
                </c:pt>
                <c:pt idx="3">
                  <c:v>2.4746942499999998</c:v>
                </c:pt>
                <c:pt idx="4">
                  <c:v>1.8637554000000001</c:v>
                </c:pt>
                <c:pt idx="5">
                  <c:v>1.4564628333333332</c:v>
                </c:pt>
                <c:pt idx="6">
                  <c:v>1.1655395714285715</c:v>
                </c:pt>
                <c:pt idx="7">
                  <c:v>0.94734712499999996</c:v>
                </c:pt>
                <c:pt idx="8">
                  <c:v>0.77764188888888885</c:v>
                </c:pt>
                <c:pt idx="9">
                  <c:v>0.64187770000000011</c:v>
                </c:pt>
                <c:pt idx="10">
                  <c:v>0.53079790909090907</c:v>
                </c:pt>
                <c:pt idx="11">
                  <c:v>0.43823141666666665</c:v>
                </c:pt>
                <c:pt idx="12">
                  <c:v>0.35990592307692315</c:v>
                </c:pt>
                <c:pt idx="13">
                  <c:v>0.2927697857142858</c:v>
                </c:pt>
                <c:pt idx="14">
                  <c:v>0.23458513333333342</c:v>
                </c:pt>
                <c:pt idx="15">
                  <c:v>0.1836735625</c:v>
                </c:pt>
                <c:pt idx="16">
                  <c:v>0.13875158823529421</c:v>
                </c:pt>
                <c:pt idx="17">
                  <c:v>9.8820944444444447E-2</c:v>
                </c:pt>
                <c:pt idx="18">
                  <c:v>6.3093526315789461E-2</c:v>
                </c:pt>
                <c:pt idx="19">
                  <c:v>3.0938850000000073E-2</c:v>
                </c:pt>
                <c:pt idx="20">
                  <c:v>1.8465238095238812E-3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20-0D4E-8F09-FA18DAC6E71F}"/>
            </c:ext>
          </c:extLst>
        </c:ser>
        <c:ser>
          <c:idx val="4"/>
          <c:order val="3"/>
          <c:tx>
            <c:v>Medium break-even ($15.8M)</c:v>
          </c:tx>
          <c:spPr>
            <a:ln w="19050" cap="rnd">
              <a:solidFill>
                <a:srgbClr val="5B657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'Required Uplift'!$F$14:$F$15</c:f>
              <c:numCache>
                <c:formatCode>"$"#,##0</c:formatCode>
                <c:ptCount val="2"/>
                <c:pt idx="0">
                  <c:v>15800141.379310345</c:v>
                </c:pt>
                <c:pt idx="1">
                  <c:v>15800141.379310345</c:v>
                </c:pt>
              </c:numCache>
            </c:numRef>
          </c:xVal>
          <c:yVal>
            <c:numRef>
              <c:f>'Required Uplift'!$G$14:$G$15</c:f>
              <c:numCache>
                <c:formatCode>0.0000;\-0.0000;0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47-2648-814B-38386BF6C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918463"/>
        <c:axId val="492920255"/>
      </c:scatterChart>
      <c:valAx>
        <c:axId val="492918463"/>
        <c:scaling>
          <c:orientation val="minMax"/>
          <c:max val="25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0,,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920255"/>
        <c:crosses val="autoZero"/>
        <c:crossBetween val="midCat"/>
        <c:majorUnit val="5000000"/>
      </c:valAx>
      <c:valAx>
        <c:axId val="492920255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uplift 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918463"/>
        <c:crosses val="autoZero"/>
        <c:crossBetween val="midCat"/>
        <c:majorUnit val="2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40404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15</xdr:col>
      <xdr:colOff>330200</xdr:colOff>
      <xdr:row>29</xdr:row>
      <xdr:rowOff>63500</xdr:rowOff>
    </xdr:to>
    <xdr:graphicFrame macro="">
      <xdr:nvGraphicFramePr>
        <xdr:cNvPr id="2" name="Required Uplift by Revenue">
          <a:extLst>
            <a:ext uri="{FF2B5EF4-FFF2-40B4-BE49-F238E27FC236}">
              <a16:creationId xmlns:a16="http://schemas.microsoft.com/office/drawing/2014/main" id="{852F7C52-65C9-22AE-A731-DA14C354F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zoomScaleNormal="100" workbookViewId="0">
      <selection activeCell="D4" sqref="D4"/>
    </sheetView>
  </sheetViews>
  <sheetFormatPr baseColWidth="10" defaultColWidth="8.6640625" defaultRowHeight="15" x14ac:dyDescent="0.2"/>
  <cols>
    <col min="1" max="1" width="20.83203125" customWidth="1"/>
    <col min="2" max="4" width="13.6640625" customWidth="1"/>
    <col min="6" max="14" width="11.33203125" customWidth="1"/>
  </cols>
  <sheetData>
    <row r="1" spans="1:7" ht="18" x14ac:dyDescent="0.2">
      <c r="A1" s="1" t="s">
        <v>0</v>
      </c>
    </row>
    <row r="2" spans="1:7" x14ac:dyDescent="0.2">
      <c r="A2" s="2" t="s">
        <v>1</v>
      </c>
    </row>
    <row r="4" spans="1:7" x14ac:dyDescent="0.2">
      <c r="A4" s="3" t="s">
        <v>2</v>
      </c>
    </row>
    <row r="5" spans="1:7" x14ac:dyDescent="0.2">
      <c r="A5" s="4" t="s">
        <v>3</v>
      </c>
      <c r="B5" s="5">
        <v>0.57999999999999996</v>
      </c>
    </row>
    <row r="7" spans="1:7" x14ac:dyDescent="0.2">
      <c r="A7" s="6" t="s">
        <v>4</v>
      </c>
      <c r="B7" s="6" t="s">
        <v>5</v>
      </c>
      <c r="C7" s="6" t="s">
        <v>6</v>
      </c>
    </row>
    <row r="8" spans="1:7" x14ac:dyDescent="0.2">
      <c r="A8" s="7" t="s">
        <v>7</v>
      </c>
      <c r="B8" s="8">
        <v>5921504</v>
      </c>
      <c r="C8" s="9">
        <f>B8/$B$5</f>
        <v>10209489.655172415</v>
      </c>
    </row>
    <row r="9" spans="1:7" x14ac:dyDescent="0.2">
      <c r="A9" s="7" t="s">
        <v>8</v>
      </c>
      <c r="B9" s="8">
        <v>9164082</v>
      </c>
      <c r="C9" s="9">
        <f>B9/$B$5</f>
        <v>15800141.379310345</v>
      </c>
    </row>
    <row r="10" spans="1:7" x14ac:dyDescent="0.2">
      <c r="A10" s="7" t="s">
        <v>9</v>
      </c>
      <c r="B10" s="8">
        <v>12218777</v>
      </c>
      <c r="C10" s="9">
        <f>B10/$B$5</f>
        <v>21066856.896551725</v>
      </c>
    </row>
    <row r="12" spans="1:7" x14ac:dyDescent="0.2">
      <c r="A12" s="3" t="s">
        <v>10</v>
      </c>
      <c r="F12" t="s">
        <v>15</v>
      </c>
    </row>
    <row r="13" spans="1:7" x14ac:dyDescent="0.2">
      <c r="A13" s="12" t="s">
        <v>11</v>
      </c>
      <c r="B13" s="12" t="s">
        <v>7</v>
      </c>
      <c r="C13" s="12" t="s">
        <v>8</v>
      </c>
      <c r="D13" s="12" t="s">
        <v>9</v>
      </c>
      <c r="F13" s="12" t="s">
        <v>11</v>
      </c>
      <c r="G13" s="12" t="s">
        <v>16</v>
      </c>
    </row>
    <row r="14" spans="1:7" x14ac:dyDescent="0.2">
      <c r="A14" s="11">
        <v>1000000</v>
      </c>
      <c r="B14" s="10">
        <f>MAX(0,$B$8/A14-0.58)</f>
        <v>5.3415039999999996</v>
      </c>
      <c r="C14" s="10">
        <f>MAX(0,$B$9/A14-0.58)</f>
        <v>8.5840820000000004</v>
      </c>
      <c r="D14" s="10">
        <f>MAX(0,$B$10/A14-0.58)</f>
        <v>11.638776999999999</v>
      </c>
      <c r="F14" s="11">
        <f>$C$9</f>
        <v>15800141.379310345</v>
      </c>
      <c r="G14" s="10">
        <v>0</v>
      </c>
    </row>
    <row r="15" spans="1:7" x14ac:dyDescent="0.2">
      <c r="A15" s="11">
        <v>2000000</v>
      </c>
      <c r="B15" s="10">
        <f t="shared" ref="B15:B38" si="0">MAX(0,$B$8/A15-0.58)</f>
        <v>2.3807519999999998</v>
      </c>
      <c r="C15" s="10">
        <f t="shared" ref="C15:C38" si="1">MAX(0,$B$9/A15-0.58)</f>
        <v>4.0020410000000002</v>
      </c>
      <c r="D15" s="10">
        <f t="shared" ref="D15:D38" si="2">MAX(0,$B$10/A15-0.58)</f>
        <v>5.5293884999999996</v>
      </c>
      <c r="F15" s="11">
        <f>$C$9</f>
        <v>15800141.379310345</v>
      </c>
      <c r="G15" s="10">
        <v>12</v>
      </c>
    </row>
    <row r="16" spans="1:7" x14ac:dyDescent="0.2">
      <c r="A16" s="11">
        <v>3000000</v>
      </c>
      <c r="B16" s="10">
        <f t="shared" si="0"/>
        <v>1.3938346666666668</v>
      </c>
      <c r="C16" s="10">
        <f t="shared" si="1"/>
        <v>2.4746939999999999</v>
      </c>
      <c r="D16" s="10">
        <f t="shared" si="2"/>
        <v>3.4929256666666664</v>
      </c>
    </row>
    <row r="17" spans="1:4" x14ac:dyDescent="0.2">
      <c r="A17" s="11">
        <v>4000000</v>
      </c>
      <c r="B17" s="10">
        <f t="shared" si="0"/>
        <v>0.90037599999999995</v>
      </c>
      <c r="C17" s="10">
        <f t="shared" si="1"/>
        <v>1.7110205000000001</v>
      </c>
      <c r="D17" s="10">
        <f t="shared" si="2"/>
        <v>2.4746942499999998</v>
      </c>
    </row>
    <row r="18" spans="1:4" x14ac:dyDescent="0.2">
      <c r="A18" s="11">
        <v>5000000</v>
      </c>
      <c r="B18" s="10">
        <f t="shared" si="0"/>
        <v>0.60430079999999997</v>
      </c>
      <c r="C18" s="10">
        <f t="shared" si="1"/>
        <v>1.2528163999999999</v>
      </c>
      <c r="D18" s="10">
        <f t="shared" si="2"/>
        <v>1.8637554000000001</v>
      </c>
    </row>
    <row r="19" spans="1:4" x14ac:dyDescent="0.2">
      <c r="A19" s="11">
        <v>6000000</v>
      </c>
      <c r="B19" s="10">
        <f t="shared" si="0"/>
        <v>0.40691733333333335</v>
      </c>
      <c r="C19" s="10">
        <f t="shared" si="1"/>
        <v>0.94734700000000005</v>
      </c>
      <c r="D19" s="10">
        <f t="shared" si="2"/>
        <v>1.4564628333333332</v>
      </c>
    </row>
    <row r="20" spans="1:4" x14ac:dyDescent="0.2">
      <c r="A20" s="11">
        <v>7000000</v>
      </c>
      <c r="B20" s="10">
        <f t="shared" si="0"/>
        <v>0.26592914285714286</v>
      </c>
      <c r="C20" s="10">
        <f t="shared" si="1"/>
        <v>0.72915457142857154</v>
      </c>
      <c r="D20" s="10">
        <f t="shared" si="2"/>
        <v>1.1655395714285715</v>
      </c>
    </row>
    <row r="21" spans="1:4" x14ac:dyDescent="0.2">
      <c r="A21" s="13">
        <v>8000000</v>
      </c>
      <c r="B21" s="14">
        <f t="shared" si="0"/>
        <v>0.160188</v>
      </c>
      <c r="C21" s="14">
        <f t="shared" si="1"/>
        <v>0.5655102500000001</v>
      </c>
      <c r="D21" s="14">
        <f t="shared" si="2"/>
        <v>0.94734712499999996</v>
      </c>
    </row>
    <row r="22" spans="1:4" x14ac:dyDescent="0.2">
      <c r="A22" s="15">
        <v>9000000</v>
      </c>
      <c r="B22" s="14">
        <f t="shared" si="0"/>
        <v>7.7944888888888952E-2</v>
      </c>
      <c r="C22" s="14">
        <f t="shared" si="1"/>
        <v>0.43823133333333331</v>
      </c>
      <c r="D22" s="14">
        <f t="shared" si="2"/>
        <v>0.77764188888888885</v>
      </c>
    </row>
    <row r="23" spans="1:4" x14ac:dyDescent="0.2">
      <c r="A23" s="16">
        <v>10000000</v>
      </c>
      <c r="B23" s="14">
        <f t="shared" si="0"/>
        <v>1.2150400000000006E-2</v>
      </c>
      <c r="C23" s="14">
        <f t="shared" si="1"/>
        <v>0.33640820000000005</v>
      </c>
      <c r="D23" s="14">
        <f t="shared" si="2"/>
        <v>0.64187770000000011</v>
      </c>
    </row>
    <row r="24" spans="1:4" x14ac:dyDescent="0.2">
      <c r="A24" s="16">
        <v>11000000</v>
      </c>
      <c r="B24" s="14">
        <f t="shared" si="0"/>
        <v>0</v>
      </c>
      <c r="C24" s="14">
        <f t="shared" si="1"/>
        <v>0.25309836363636362</v>
      </c>
      <c r="D24" s="14">
        <f t="shared" si="2"/>
        <v>0.53079790909090907</v>
      </c>
    </row>
    <row r="25" spans="1:4" x14ac:dyDescent="0.2">
      <c r="A25" s="16">
        <v>12000000</v>
      </c>
      <c r="B25" s="14">
        <f t="shared" si="0"/>
        <v>0</v>
      </c>
      <c r="C25" s="14">
        <f t="shared" si="1"/>
        <v>0.18367350000000005</v>
      </c>
      <c r="D25" s="14">
        <f t="shared" si="2"/>
        <v>0.43823141666666665</v>
      </c>
    </row>
    <row r="26" spans="1:4" x14ac:dyDescent="0.2">
      <c r="A26" s="13">
        <v>13000000</v>
      </c>
      <c r="B26" s="14">
        <f t="shared" si="0"/>
        <v>0</v>
      </c>
      <c r="C26" s="14">
        <f t="shared" si="1"/>
        <v>0.12492938461538461</v>
      </c>
      <c r="D26" s="14">
        <f t="shared" si="2"/>
        <v>0.35990592307692315</v>
      </c>
    </row>
    <row r="27" spans="1:4" x14ac:dyDescent="0.2">
      <c r="A27" s="13">
        <v>14000000</v>
      </c>
      <c r="B27" s="14">
        <f t="shared" si="0"/>
        <v>0</v>
      </c>
      <c r="C27" s="14">
        <f t="shared" si="1"/>
        <v>7.457728571428579E-2</v>
      </c>
      <c r="D27" s="14">
        <f t="shared" si="2"/>
        <v>0.2927697857142858</v>
      </c>
    </row>
    <row r="28" spans="1:4" x14ac:dyDescent="0.2">
      <c r="A28" s="13">
        <v>15000000</v>
      </c>
      <c r="B28" s="14">
        <f t="shared" si="0"/>
        <v>0</v>
      </c>
      <c r="C28" s="14">
        <f t="shared" si="1"/>
        <v>3.0938800000000044E-2</v>
      </c>
      <c r="D28" s="14">
        <f t="shared" si="2"/>
        <v>0.23458513333333342</v>
      </c>
    </row>
    <row r="29" spans="1:4" x14ac:dyDescent="0.2">
      <c r="A29" s="13">
        <v>16000000</v>
      </c>
      <c r="B29" s="14">
        <f t="shared" si="0"/>
        <v>0</v>
      </c>
      <c r="C29" s="14">
        <f t="shared" si="1"/>
        <v>0</v>
      </c>
      <c r="D29" s="14">
        <f t="shared" si="2"/>
        <v>0.1836735625</v>
      </c>
    </row>
    <row r="30" spans="1:4" x14ac:dyDescent="0.2">
      <c r="A30" s="13">
        <v>17000000</v>
      </c>
      <c r="B30" s="14">
        <f t="shared" si="0"/>
        <v>0</v>
      </c>
      <c r="C30" s="14">
        <f t="shared" si="1"/>
        <v>0</v>
      </c>
      <c r="D30" s="14">
        <f t="shared" si="2"/>
        <v>0.13875158823529421</v>
      </c>
    </row>
    <row r="31" spans="1:4" x14ac:dyDescent="0.2">
      <c r="A31" s="13">
        <v>18000000</v>
      </c>
      <c r="B31" s="14">
        <f t="shared" si="0"/>
        <v>0</v>
      </c>
      <c r="C31" s="14">
        <f t="shared" si="1"/>
        <v>0</v>
      </c>
      <c r="D31" s="14">
        <f t="shared" si="2"/>
        <v>9.8820944444444447E-2</v>
      </c>
    </row>
    <row r="32" spans="1:4" x14ac:dyDescent="0.2">
      <c r="A32" s="13">
        <v>19000000</v>
      </c>
      <c r="B32" s="14">
        <f t="shared" si="0"/>
        <v>0</v>
      </c>
      <c r="C32" s="14">
        <f t="shared" si="1"/>
        <v>0</v>
      </c>
      <c r="D32" s="14">
        <f t="shared" si="2"/>
        <v>6.3093526315789461E-2</v>
      </c>
    </row>
    <row r="33" spans="1:4" x14ac:dyDescent="0.2">
      <c r="A33" s="13">
        <v>20000000</v>
      </c>
      <c r="B33" s="14">
        <f t="shared" si="0"/>
        <v>0</v>
      </c>
      <c r="C33" s="14">
        <f t="shared" si="1"/>
        <v>0</v>
      </c>
      <c r="D33" s="14">
        <f t="shared" si="2"/>
        <v>3.0938850000000073E-2</v>
      </c>
    </row>
    <row r="34" spans="1:4" x14ac:dyDescent="0.2">
      <c r="A34" s="13">
        <v>21000000</v>
      </c>
      <c r="B34" s="14">
        <f t="shared" si="0"/>
        <v>0</v>
      </c>
      <c r="C34" s="14">
        <f t="shared" si="1"/>
        <v>0</v>
      </c>
      <c r="D34" s="14">
        <f t="shared" si="2"/>
        <v>1.8465238095238812E-3</v>
      </c>
    </row>
    <row r="35" spans="1:4" x14ac:dyDescent="0.2">
      <c r="A35" s="13">
        <v>22000000</v>
      </c>
      <c r="B35" s="14">
        <f t="shared" si="0"/>
        <v>0</v>
      </c>
      <c r="C35" s="14">
        <f t="shared" si="1"/>
        <v>0</v>
      </c>
      <c r="D35" s="14">
        <f t="shared" si="2"/>
        <v>0</v>
      </c>
    </row>
    <row r="36" spans="1:4" x14ac:dyDescent="0.2">
      <c r="A36" s="13">
        <v>23000000</v>
      </c>
      <c r="B36" s="14">
        <f t="shared" si="0"/>
        <v>0</v>
      </c>
      <c r="C36" s="14">
        <f t="shared" si="1"/>
        <v>0</v>
      </c>
      <c r="D36" s="14">
        <f t="shared" si="2"/>
        <v>0</v>
      </c>
    </row>
    <row r="37" spans="1:4" x14ac:dyDescent="0.2">
      <c r="A37" s="13">
        <v>24000000</v>
      </c>
      <c r="B37" s="14">
        <f t="shared" si="0"/>
        <v>0</v>
      </c>
      <c r="C37" s="14">
        <f t="shared" si="1"/>
        <v>0</v>
      </c>
      <c r="D37" s="14">
        <f t="shared" si="2"/>
        <v>0</v>
      </c>
    </row>
    <row r="38" spans="1:4" x14ac:dyDescent="0.2">
      <c r="A38" s="17">
        <v>25000000</v>
      </c>
      <c r="B38" s="18">
        <f t="shared" si="0"/>
        <v>0</v>
      </c>
      <c r="C38" s="18">
        <f t="shared" si="1"/>
        <v>0</v>
      </c>
      <c r="D38" s="18">
        <f t="shared" si="2"/>
        <v>0</v>
      </c>
    </row>
    <row r="40" spans="1:4" x14ac:dyDescent="0.2">
      <c r="A40" s="19" t="s">
        <v>12</v>
      </c>
    </row>
    <row r="41" spans="1:4" x14ac:dyDescent="0.2">
      <c r="A41" s="20" t="s">
        <v>13</v>
      </c>
    </row>
    <row r="42" spans="1:4" x14ac:dyDescent="0.2">
      <c r="A42" s="20" t="s">
        <v>14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Required Uplift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Allen Mehr</cp:lastModifiedBy>
  <cp:revision>0</cp:revision>
  <dcterms:created xsi:type="dcterms:W3CDTF">2026-09-21T06:54:48Z</dcterms:created>
  <dcterms:modified xsi:type="dcterms:W3CDTF">2026-09-25T03:38:14Z</dcterms:modified>
  <dc:language>en-US</dc:language>
</cp:coreProperties>
</file>