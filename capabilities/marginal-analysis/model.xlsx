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mehr/Documents/GitHub/allen-mehr/capabilities/marginal-analysis/"/>
    </mc:Choice>
  </mc:AlternateContent>
  <xr:revisionPtr revIDLastSave="0" documentId="13_ncr:1_{C7278C96-8A4E-FC47-9D8A-A1067E752D49}" xr6:coauthVersionLast="47" xr6:coauthVersionMax="47" xr10:uidLastSave="{00000000-0000-0000-0000-000000000000}"/>
  <bookViews>
    <workbookView xWindow="0" yWindow="660" windowWidth="34560" windowHeight="20420" activeTab="3" xr2:uid="{BDFB547A-7CF5-5D46-A116-A51B8B0DF0D0}"/>
  </bookViews>
  <sheets>
    <sheet name="README" sheetId="2" r:id="rId1"/>
    <sheet name="Inputs" sheetId="3" r:id="rId2"/>
    <sheet name="MC Schedules" sheetId="4" r:id="rId3"/>
    <sheet name="Mix" sheetId="5" r:id="rId4"/>
    <sheet name="Charts" sheetId="6" r:id="rId5"/>
  </sheets>
  <definedNames>
    <definedName name="beds_total">Inputs!$B$6</definedName>
    <definedName name="carrot_crop_beds">Mix!$B$6</definedName>
    <definedName name="carrot_crop_cap">Inputs!$C$27</definedName>
    <definedName name="carrot_crop_dim">Inputs!$C$26</definedName>
    <definedName name="carrot_crop_fert">Inputs!$C$25</definedName>
    <definedName name="carrot_crop_hrswk">Inputs!$C$28</definedName>
    <definedName name="carrot_crop_price">Inputs!$C$24</definedName>
    <definedName name="carrot_crossing">'MC Schedules'!$C$90</definedName>
    <definedName name="carrot_mc_pos">'MC Schedules'!$B$31:$B$50</definedName>
    <definedName name="carrot_sched_anchor">'MC Schedules'!$O$30</definedName>
    <definedName name="carrot_sched_atc">'MC Schedules'!$L$30:$L$50</definedName>
    <definedName name="carrot_sched_avc">'MC Schedules'!$K$30:$K$50</definedName>
    <definedName name="carrot_sched_fall">'MC Schedules'!$M$30:$M$50</definedName>
    <definedName name="carrot_sched_fert">'MC Schedules'!$H$30:$H$50</definedName>
    <definedName name="carrot_sched_hrs">'MC Schedules'!$D$30:$D$50</definedName>
    <definedName name="carrot_sched_labor">'MC Schedules'!$G$30:$G$50</definedName>
    <definedName name="carrot_sched_mc">'MC Schedules'!$B$30:$B$50</definedName>
    <definedName name="carrot_sched_perm">'MC Schedules'!$E$30:$E$50</definedName>
    <definedName name="carrot_sched_price">'MC Schedules'!$C$30:$C$50</definedName>
    <definedName name="carrot_sched_q">'MC Schedules'!$A$30:$A$50</definedName>
    <definedName name="carrot_sched_tc">'MC Schedules'!$J$30:$J$50</definedName>
    <definedName name="carrot_sched_temp">'MC Schedules'!$F$30:$F$50</definedName>
    <definedName name="carrot_sched_vc">'MC Schedules'!$I$30:$I$50</definedName>
    <definedName name="check_farmer_wage">Inputs!$B$31</definedName>
    <definedName name="check_labor_alloc">Mix!$B$38</definedName>
    <definedName name="contribution_total">Mix!$E$28</definedName>
    <definedName name="farmer_field_pct">Inputs!$B$12</definedName>
    <definedName name="farmer_hrs_field">Inputs!$B$14</definedName>
    <definedName name="farmer_hrs_paid">Inputs!$B$13</definedName>
    <definedName name="farmer_hrs_wk">Inputs!$B$11</definedName>
    <definedName name="farmer_salary">Inputs!$B$10</definedName>
    <definedName name="farmer_wage">Inputs!$B$15</definedName>
    <definedName name="fert_total">Mix!$E$26</definedName>
    <definedName name="fixed_costs">Inputs!$B$7</definedName>
    <definedName name="labor_cost_total">Mix!$B$18</definedName>
    <definedName name="labor_rate_blended">Mix!$B$19</definedName>
    <definedName name="mesclun_crop_beds">Mix!$B$7</definedName>
    <definedName name="mesclun_crop_cap">Inputs!$D$27</definedName>
    <definedName name="mesclun_crop_dim">Inputs!$D$26</definedName>
    <definedName name="mesclun_crop_fert">Inputs!$D$25</definedName>
    <definedName name="mesclun_crop_hrswk">Inputs!$D$28</definedName>
    <definedName name="mesclun_crop_price">Inputs!$D$24</definedName>
    <definedName name="mesclun_crossing">'MC Schedules'!$C$91</definedName>
    <definedName name="mesclun_mc_pos">'MC Schedules'!$B$55:$B$84</definedName>
    <definedName name="mesclun_sched_anchor">'MC Schedules'!$O$54</definedName>
    <definedName name="mesclun_sched_atc">'MC Schedules'!$L$54:$L$84</definedName>
    <definedName name="mesclun_sched_avc">'MC Schedules'!$K$54:$K$84</definedName>
    <definedName name="mesclun_sched_fall">'MC Schedules'!$M$54:$M$84</definedName>
    <definedName name="mesclun_sched_fert">'MC Schedules'!$H$54:$H$84</definedName>
    <definedName name="mesclun_sched_hrs">'MC Schedules'!$D$54:$D$84</definedName>
    <definedName name="mesclun_sched_labor">'MC Schedules'!$G$54:$G$84</definedName>
    <definedName name="mesclun_sched_mc">'MC Schedules'!$B$54:$B$84</definedName>
    <definedName name="mesclun_sched_perm">'MC Schedules'!$E$54:$E$84</definedName>
    <definedName name="mesclun_sched_price">'MC Schedules'!$C$54:$C$84</definedName>
    <definedName name="mesclun_sched_q">'MC Schedules'!$A$54:$A$84</definedName>
    <definedName name="mesclun_sched_tc">'MC Schedules'!$J$54:$J$84</definedName>
    <definedName name="mesclun_sched_temp">'MC Schedules'!$F$54:$F$84</definedName>
    <definedName name="mesclun_sched_vc">'MC Schedules'!$I$54:$I$84</definedName>
    <definedName name="mix_beds_row">Mix!$B$23:$D$23</definedName>
    <definedName name="mix_beds_total">Mix!$B$8</definedName>
    <definedName name="mix_contrib_row">Mix!$B$28:$D$28</definedName>
    <definedName name="mix_fert_row">Mix!$B$26:$D$26</definedName>
    <definedName name="mix_hrs_carrot">Mix!$B$12</definedName>
    <definedName name="mix_hrs_mesclun">Mix!$B$13</definedName>
    <definedName name="mix_hrs_row">Mix!$B$24:$D$24</definedName>
    <definedName name="mix_hrs_tomato">Mix!$B$11</definedName>
    <definedName name="mix_hrs_total">Mix!$B$14</definedName>
    <definedName name="mix_labor_alloc_total">Mix!$E$27</definedName>
    <definedName name="mix_labor_row">Mix!$B$27:$D$27</definedName>
    <definedName name="mix_revenue_row">Mix!$B$25:$D$25</definedName>
    <definedName name="perm_hrs_used">Mix!$B$15</definedName>
    <definedName name="revenue_total">Mix!$E$25</definedName>
    <definedName name="season_profit">Mix!$B$35</definedName>
    <definedName name="season_weeks">Inputs!$B$5</definedName>
    <definedName name="solver_adj" localSheetId="3" hidden="1">Mix!$B$5:$B$7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hs1" localSheetId="3" hidden="1">Mix!$B$5:$B$7</definedName>
    <definedName name="solver_lhs10" localSheetId="3" hidden="1">Mix!$B$17</definedName>
    <definedName name="solver_lhs11" localSheetId="3" hidden="1">Mix!$B$5</definedName>
    <definedName name="solver_lhs2" localSheetId="3" hidden="1">Mix!$B$5:$B$7</definedName>
    <definedName name="solver_lhs3" localSheetId="3" hidden="1">Mix!$B$6</definedName>
    <definedName name="solver_lhs4" localSheetId="3" hidden="1">Mix!$B$7</definedName>
    <definedName name="solver_lhs5" localSheetId="3" hidden="1">Mix!$B$8</definedName>
    <definedName name="solver_lhs6" localSheetId="3" hidden="1">Mix!$B$17</definedName>
    <definedName name="solver_lhs7" localSheetId="3" hidden="1">Mix!$B$5</definedName>
    <definedName name="solver_lhs8" localSheetId="3" hidden="1">Mix!$B$7</definedName>
    <definedName name="solver_lhs9" localSheetId="3" hidden="1">Mix!$B$8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7</definedName>
    <definedName name="solver_opt" localSheetId="3" hidden="1">Mix!$B$35</definedName>
    <definedName name="solver_pre" localSheetId="3" hidden="1">0.000001</definedName>
    <definedName name="solver_rbv" localSheetId="3" hidden="1">1</definedName>
    <definedName name="solver_rel1" localSheetId="3" hidden="1">4</definedName>
    <definedName name="solver_rel10" localSheetId="3" hidden="1">1</definedName>
    <definedName name="solver_rel11" localSheetId="3" hidden="1">1</definedName>
    <definedName name="solver_rel2" localSheetId="3" hidden="1">3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el7" localSheetId="3" hidden="1">1</definedName>
    <definedName name="solver_rel8" localSheetId="3" hidden="1">1</definedName>
    <definedName name="solver_rel9" localSheetId="3" hidden="1">1</definedName>
    <definedName name="solver_rhs1" localSheetId="3" hidden="1">"integer"</definedName>
    <definedName name="solver_rhs10" localSheetId="3" hidden="1">labor_rate_blended</definedName>
    <definedName name="solver_rhs11" localSheetId="3" hidden="1">tomato_crop_cap</definedName>
    <definedName name="solver_rhs2" localSheetId="3" hidden="1">0</definedName>
    <definedName name="solver_rhs3" localSheetId="3" hidden="1">20</definedName>
    <definedName name="solver_rhs4" localSheetId="3" hidden="1">30</definedName>
    <definedName name="solver_rhs5" localSheetId="3" hidden="1">64</definedName>
    <definedName name="solver_rhs6" localSheetId="3" hidden="1">4</definedName>
    <definedName name="solver_rhs7" localSheetId="3" hidden="1">20</definedName>
    <definedName name="solver_rhs8" localSheetId="3" hidden="1">mesclun_crop_cap</definedName>
    <definedName name="solver_rhs9" localSheetId="3" hidden="1">carrot_crop_beds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  <definedName name="temp_hrs_avail">Inputs!$B$20</definedName>
    <definedName name="temp_hrs_each">Inputs!$B$17</definedName>
    <definedName name="temp_hrs_used">Mix!$B$16</definedName>
    <definedName name="temp_max">Inputs!$B$19</definedName>
    <definedName name="temp_salary">Inputs!$B$16</definedName>
    <definedName name="temp_wage">Inputs!$B$18</definedName>
    <definedName name="temp_workers_needed">Mix!$B$17</definedName>
    <definedName name="tomato_crop_beds">Mix!$B$5</definedName>
    <definedName name="tomato_crop_cap">Inputs!$B$27</definedName>
    <definedName name="tomato_crop_dim">Inputs!$B$26</definedName>
    <definedName name="tomato_crop_fert">Inputs!$B$25</definedName>
    <definedName name="tomato_crop_hrswk">Inputs!$B$28</definedName>
    <definedName name="tomato_crop_price">Inputs!$B$24</definedName>
    <definedName name="tomato_crossing">'MC Schedules'!$C$89</definedName>
    <definedName name="tomato_mc_pos">'MC Schedules'!$B$7:$B$26</definedName>
    <definedName name="tomato_sched_anchor">'MC Schedules'!$O$6</definedName>
    <definedName name="tomato_sched_atc">'MC Schedules'!$L$6:$L$26</definedName>
    <definedName name="tomato_sched_avc">'MC Schedules'!$K$6:$K$26</definedName>
    <definedName name="tomato_sched_fall">'MC Schedules'!$M$6:$M$26</definedName>
    <definedName name="tomato_sched_fert">'MC Schedules'!$H$6:$H$26</definedName>
    <definedName name="tomato_sched_hrs">'MC Schedules'!$D$6:$D$26</definedName>
    <definedName name="tomato_sched_labor">'MC Schedules'!$G$6:$G$26</definedName>
    <definedName name="tomato_sched_mc">'MC Schedules'!$B$6:$B$26</definedName>
    <definedName name="tomato_sched_perm">'MC Schedules'!$E$6:$E$26</definedName>
    <definedName name="tomato_sched_price">'MC Schedules'!$C$6:$C$26</definedName>
    <definedName name="tomato_sched_q">'MC Schedules'!$A$6:$A$26</definedName>
    <definedName name="tomato_sched_tc">'MC Schedules'!$J$6:$J$26</definedName>
    <definedName name="tomato_sched_temp">'MC Schedules'!$F$6:$F$26</definedName>
    <definedName name="tomato_sched_vc">'MC Schedules'!$I$6:$I$26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5" l="1"/>
  <c r="H9" i="5"/>
  <c r="I9" i="5"/>
  <c r="J9" i="5"/>
  <c r="K9" i="5"/>
  <c r="H8" i="5"/>
  <c r="I8" i="5"/>
  <c r="J8" i="5"/>
  <c r="K8" i="5"/>
  <c r="H7" i="5"/>
  <c r="I7" i="5"/>
  <c r="J7" i="5"/>
  <c r="K7" i="5"/>
  <c r="H6" i="5"/>
  <c r="B34" i="5"/>
  <c r="B26" i="5"/>
  <c r="C26" i="5"/>
  <c r="D26" i="5"/>
  <c r="B25" i="5"/>
  <c r="C25" i="5"/>
  <c r="D25" i="5"/>
  <c r="B23" i="5"/>
  <c r="C23" i="5"/>
  <c r="D23" i="5"/>
  <c r="B11" i="5"/>
  <c r="F91" i="4"/>
  <c r="B91" i="4"/>
  <c r="F90" i="4"/>
  <c r="B90" i="4"/>
  <c r="F89" i="4"/>
  <c r="B89" i="4"/>
  <c r="A84" i="4"/>
  <c r="H84" i="4" s="1"/>
  <c r="A83" i="4"/>
  <c r="H83" i="4" s="1"/>
  <c r="A82" i="4"/>
  <c r="C82" i="4" s="1"/>
  <c r="A81" i="4"/>
  <c r="C81" i="4" s="1"/>
  <c r="A80" i="4"/>
  <c r="D80" i="4" s="1"/>
  <c r="A79" i="4"/>
  <c r="D79" i="4" s="1"/>
  <c r="A78" i="4"/>
  <c r="D78" i="4" s="1"/>
  <c r="A77" i="4"/>
  <c r="A76" i="4"/>
  <c r="H76" i="4" s="1"/>
  <c r="A75" i="4"/>
  <c r="H75" i="4" s="1"/>
  <c r="A74" i="4"/>
  <c r="H74" i="4" s="1"/>
  <c r="A73" i="4"/>
  <c r="A72" i="4"/>
  <c r="A71" i="4"/>
  <c r="A70" i="4"/>
  <c r="H70" i="4" s="1"/>
  <c r="A69" i="4"/>
  <c r="D69" i="4" s="1"/>
  <c r="A68" i="4"/>
  <c r="D68" i="4" s="1"/>
  <c r="A67" i="4"/>
  <c r="C67" i="4" s="1"/>
  <c r="A66" i="4"/>
  <c r="D66" i="4" s="1"/>
  <c r="A65" i="4"/>
  <c r="C65" i="4" s="1"/>
  <c r="A64" i="4"/>
  <c r="D64" i="4" s="1"/>
  <c r="A63" i="4"/>
  <c r="A62" i="4"/>
  <c r="H62" i="4" s="1"/>
  <c r="A61" i="4"/>
  <c r="H61" i="4" s="1"/>
  <c r="A60" i="4"/>
  <c r="H60" i="4" s="1"/>
  <c r="A59" i="4"/>
  <c r="A58" i="4"/>
  <c r="A57" i="4"/>
  <c r="A56" i="4"/>
  <c r="C56" i="4" s="1"/>
  <c r="A55" i="4"/>
  <c r="H55" i="4" s="1"/>
  <c r="A50" i="4"/>
  <c r="H50" i="4" s="1"/>
  <c r="A49" i="4"/>
  <c r="H49" i="4" s="1"/>
  <c r="A48" i="4"/>
  <c r="C48" i="4" s="1"/>
  <c r="A47" i="4"/>
  <c r="C47" i="4" s="1"/>
  <c r="A46" i="4"/>
  <c r="D46" i="4" s="1"/>
  <c r="A45" i="4"/>
  <c r="A44" i="4"/>
  <c r="A43" i="4"/>
  <c r="A42" i="4"/>
  <c r="H42" i="4" s="1"/>
  <c r="A41" i="4"/>
  <c r="H41" i="4" s="1"/>
  <c r="A40" i="4"/>
  <c r="H40" i="4" s="1"/>
  <c r="A39" i="4"/>
  <c r="A38" i="4"/>
  <c r="A37" i="4"/>
  <c r="D37" i="4" s="1"/>
  <c r="A36" i="4"/>
  <c r="D36" i="4" s="1"/>
  <c r="A35" i="4"/>
  <c r="D35" i="4" s="1"/>
  <c r="A34" i="4"/>
  <c r="C34" i="4" s="1"/>
  <c r="A33" i="4"/>
  <c r="C33" i="4" s="1"/>
  <c r="A32" i="4"/>
  <c r="A31" i="4"/>
  <c r="A26" i="4"/>
  <c r="H26" i="4" s="1"/>
  <c r="A25" i="4"/>
  <c r="H25" i="4" s="1"/>
  <c r="A24" i="4"/>
  <c r="H24" i="4" s="1"/>
  <c r="A23" i="4"/>
  <c r="C23" i="4" s="1"/>
  <c r="A22" i="4"/>
  <c r="D22" i="4" s="1"/>
  <c r="A21" i="4"/>
  <c r="H21" i="4" s="1"/>
  <c r="A20" i="4"/>
  <c r="C20" i="4" s="1"/>
  <c r="A19" i="4"/>
  <c r="D19" i="4" s="1"/>
  <c r="A18" i="4"/>
  <c r="H18" i="4" s="1"/>
  <c r="A17" i="4"/>
  <c r="H17" i="4" s="1"/>
  <c r="A16" i="4"/>
  <c r="H16" i="4" s="1"/>
  <c r="A15" i="4"/>
  <c r="A14" i="4"/>
  <c r="A13" i="4"/>
  <c r="A12" i="4"/>
  <c r="H12" i="4" s="1"/>
  <c r="A11" i="4"/>
  <c r="D11" i="4" s="1"/>
  <c r="A10" i="4"/>
  <c r="H10" i="4" s="1"/>
  <c r="A9" i="4"/>
  <c r="C9" i="4" s="1"/>
  <c r="A8" i="4"/>
  <c r="D8" i="4" s="1"/>
  <c r="A7" i="4"/>
  <c r="H7" i="4" s="1"/>
  <c r="A54" i="4"/>
  <c r="H54" i="4" s="1"/>
  <c r="C54" i="4"/>
  <c r="D54" i="4"/>
  <c r="A30" i="4"/>
  <c r="A6" i="4"/>
  <c r="D28" i="3"/>
  <c r="B13" i="5" s="1"/>
  <c r="D24" i="5" s="1"/>
  <c r="C28" i="3"/>
  <c r="B12" i="5" s="1"/>
  <c r="C24" i="5" s="1"/>
  <c r="B20" i="3"/>
  <c r="B18" i="3"/>
  <c r="B13" i="3"/>
  <c r="B14" i="3" s="1"/>
  <c r="E23" i="5" l="1"/>
  <c r="E25" i="5"/>
  <c r="B31" i="5" s="1"/>
  <c r="E54" i="4"/>
  <c r="F54" i="4" s="1"/>
  <c r="G54" i="4" s="1"/>
  <c r="I54" i="4" s="1"/>
  <c r="J54" i="4" s="1"/>
  <c r="L54" i="4" s="1"/>
  <c r="B8" i="5"/>
  <c r="I6" i="5" s="1"/>
  <c r="B15" i="3"/>
  <c r="B31" i="3" s="1"/>
  <c r="D34" i="4"/>
  <c r="E34" i="4" s="1"/>
  <c r="H34" i="4"/>
  <c r="E35" i="4"/>
  <c r="F35" i="4" s="1"/>
  <c r="E68" i="4"/>
  <c r="F68" i="4" s="1"/>
  <c r="G68" i="4" s="1"/>
  <c r="I68" i="4" s="1"/>
  <c r="E69" i="4"/>
  <c r="F69" i="4" s="1"/>
  <c r="G69" i="4" s="1"/>
  <c r="D38" i="4"/>
  <c r="E38" i="4" s="1"/>
  <c r="D39" i="4"/>
  <c r="E39" i="4" s="1"/>
  <c r="D43" i="4"/>
  <c r="E43" i="4" s="1"/>
  <c r="B14" i="5"/>
  <c r="B15" i="5" s="1"/>
  <c r="B16" i="5" s="1"/>
  <c r="B17" i="5" s="1"/>
  <c r="M54" i="4" a="1"/>
  <c r="M54" i="4" s="1"/>
  <c r="D32" i="4"/>
  <c r="D44" i="4"/>
  <c r="E44" i="4" s="1"/>
  <c r="E37" i="4"/>
  <c r="D9" i="4"/>
  <c r="E9" i="4" s="1"/>
  <c r="D31" i="4"/>
  <c r="E31" i="4" s="1"/>
  <c r="F31" i="4" s="1"/>
  <c r="D45" i="4"/>
  <c r="D63" i="4"/>
  <c r="D77" i="4"/>
  <c r="E77" i="4" s="1"/>
  <c r="F77" i="4" s="1"/>
  <c r="E26" i="5"/>
  <c r="B32" i="5" s="1"/>
  <c r="K6" i="5"/>
  <c r="J6" i="5"/>
  <c r="B24" i="5"/>
  <c r="E24" i="5" s="1"/>
  <c r="H66" i="4"/>
  <c r="H67" i="4"/>
  <c r="D81" i="4"/>
  <c r="E81" i="4" s="1"/>
  <c r="H81" i="4"/>
  <c r="C84" i="4"/>
  <c r="C50" i="4"/>
  <c r="D50" i="4"/>
  <c r="E50" i="4" s="1"/>
  <c r="D7" i="4"/>
  <c r="E7" i="4" s="1"/>
  <c r="H9" i="4"/>
  <c r="H23" i="4"/>
  <c r="C55" i="4"/>
  <c r="D82" i="4"/>
  <c r="E82" i="4" s="1"/>
  <c r="C64" i="4"/>
  <c r="H68" i="4"/>
  <c r="D55" i="4"/>
  <c r="E55" i="4" s="1"/>
  <c r="H82" i="4"/>
  <c r="H64" i="4"/>
  <c r="H69" i="4"/>
  <c r="H65" i="4"/>
  <c r="H56" i="4"/>
  <c r="C70" i="4"/>
  <c r="H79" i="4"/>
  <c r="C68" i="4"/>
  <c r="H77" i="4"/>
  <c r="C83" i="4"/>
  <c r="H78" i="4"/>
  <c r="D56" i="4"/>
  <c r="E56" i="4" s="1"/>
  <c r="D70" i="4"/>
  <c r="H63" i="4"/>
  <c r="D83" i="4"/>
  <c r="H80" i="4"/>
  <c r="D84" i="4"/>
  <c r="E84" i="4" s="1"/>
  <c r="C69" i="4"/>
  <c r="D67" i="4"/>
  <c r="E67" i="4" s="1"/>
  <c r="H48" i="4"/>
  <c r="D47" i="4"/>
  <c r="E47" i="4" s="1"/>
  <c r="F47" i="4" s="1"/>
  <c r="G47" i="4" s="1"/>
  <c r="I47" i="4" s="1"/>
  <c r="J47" i="4" s="1"/>
  <c r="L47" i="4" s="1"/>
  <c r="C32" i="4"/>
  <c r="D48" i="4"/>
  <c r="E48" i="4" s="1"/>
  <c r="H32" i="4"/>
  <c r="D33" i="4"/>
  <c r="E33" i="4" s="1"/>
  <c r="F33" i="4" s="1"/>
  <c r="G33" i="4" s="1"/>
  <c r="I33" i="4" s="1"/>
  <c r="J33" i="4" s="1"/>
  <c r="L33" i="4" s="1"/>
  <c r="C49" i="4"/>
  <c r="H36" i="4"/>
  <c r="C38" i="4"/>
  <c r="C39" i="4"/>
  <c r="H35" i="4"/>
  <c r="D49" i="4"/>
  <c r="E49" i="4" s="1"/>
  <c r="F49" i="4" s="1"/>
  <c r="C37" i="4"/>
  <c r="C35" i="4"/>
  <c r="H47" i="4"/>
  <c r="C36" i="4"/>
  <c r="H33" i="4"/>
  <c r="H46" i="4"/>
  <c r="H22" i="4"/>
  <c r="D26" i="4"/>
  <c r="C22" i="4"/>
  <c r="C26" i="4"/>
  <c r="C10" i="4"/>
  <c r="D10" i="4"/>
  <c r="E10" i="4" s="1"/>
  <c r="D23" i="4"/>
  <c r="C11" i="4"/>
  <c r="H11" i="4"/>
  <c r="C7" i="4"/>
  <c r="C24" i="4"/>
  <c r="D20" i="4"/>
  <c r="E20" i="4" s="1"/>
  <c r="D24" i="4"/>
  <c r="E24" i="4" s="1"/>
  <c r="C8" i="4"/>
  <c r="C12" i="4"/>
  <c r="H8" i="4"/>
  <c r="D12" i="4"/>
  <c r="E12" i="4" s="1"/>
  <c r="F12" i="4" s="1"/>
  <c r="G12" i="4" s="1"/>
  <c r="I12" i="4" s="1"/>
  <c r="C21" i="4"/>
  <c r="C25" i="4"/>
  <c r="H19" i="4"/>
  <c r="H20" i="4"/>
  <c r="D21" i="4"/>
  <c r="E21" i="4" s="1"/>
  <c r="D25" i="4"/>
  <c r="E25" i="4" s="1"/>
  <c r="F25" i="4" s="1"/>
  <c r="E63" i="4"/>
  <c r="F63" i="4" s="1"/>
  <c r="E64" i="4"/>
  <c r="F64" i="4" s="1"/>
  <c r="E80" i="4"/>
  <c r="E78" i="4"/>
  <c r="E79" i="4"/>
  <c r="F79" i="4" s="1"/>
  <c r="E66" i="4"/>
  <c r="F66" i="4" s="1"/>
  <c r="C71" i="4"/>
  <c r="E83" i="4"/>
  <c r="D57" i="4"/>
  <c r="C58" i="4"/>
  <c r="E70" i="4"/>
  <c r="F70" i="4" s="1"/>
  <c r="D71" i="4"/>
  <c r="C72" i="4"/>
  <c r="D60" i="4"/>
  <c r="C61" i="4"/>
  <c r="D74" i="4"/>
  <c r="C75" i="4"/>
  <c r="C57" i="4"/>
  <c r="D72" i="4"/>
  <c r="C74" i="4"/>
  <c r="H57" i="4"/>
  <c r="D61" i="4"/>
  <c r="C62" i="4"/>
  <c r="H71" i="4"/>
  <c r="D75" i="4"/>
  <c r="C76" i="4"/>
  <c r="D58" i="4"/>
  <c r="D73" i="4"/>
  <c r="H58" i="4"/>
  <c r="D62" i="4"/>
  <c r="C63" i="4"/>
  <c r="H72" i="4"/>
  <c r="D76" i="4"/>
  <c r="C77" i="4"/>
  <c r="H59" i="4"/>
  <c r="H73" i="4"/>
  <c r="C78" i="4"/>
  <c r="C59" i="4"/>
  <c r="C73" i="4"/>
  <c r="C60" i="4"/>
  <c r="C79" i="4"/>
  <c r="D65" i="4"/>
  <c r="C66" i="4"/>
  <c r="C80" i="4"/>
  <c r="D59" i="4"/>
  <c r="E45" i="4"/>
  <c r="F45" i="4" s="1"/>
  <c r="F34" i="4"/>
  <c r="G34" i="4"/>
  <c r="I34" i="4" s="1"/>
  <c r="E32" i="4"/>
  <c r="E46" i="4"/>
  <c r="F46" i="4" s="1"/>
  <c r="E36" i="4"/>
  <c r="F36" i="4" s="1"/>
  <c r="H43" i="4"/>
  <c r="H44" i="4"/>
  <c r="H31" i="4"/>
  <c r="H45" i="4"/>
  <c r="D40" i="4"/>
  <c r="H37" i="4"/>
  <c r="D41" i="4"/>
  <c r="C42" i="4"/>
  <c r="H38" i="4"/>
  <c r="D42" i="4"/>
  <c r="C43" i="4"/>
  <c r="H39" i="4"/>
  <c r="C44" i="4"/>
  <c r="C40" i="4"/>
  <c r="C41" i="4"/>
  <c r="F37" i="4"/>
  <c r="G37" i="4" s="1"/>
  <c r="C31" i="4"/>
  <c r="C45" i="4"/>
  <c r="C46" i="4"/>
  <c r="F7" i="4"/>
  <c r="G7" i="4" s="1"/>
  <c r="I7" i="4" s="1"/>
  <c r="E8" i="4"/>
  <c r="F8" i="4" s="1"/>
  <c r="F21" i="4"/>
  <c r="G21" i="4" s="1"/>
  <c r="I21" i="4" s="1"/>
  <c r="E19" i="4"/>
  <c r="F19" i="4" s="1"/>
  <c r="E22" i="4"/>
  <c r="F22" i="4" s="1"/>
  <c r="D14" i="4"/>
  <c r="C15" i="4"/>
  <c r="E11" i="4"/>
  <c r="F11" i="4" s="1"/>
  <c r="D16" i="4"/>
  <c r="C17" i="4"/>
  <c r="D15" i="4"/>
  <c r="H13" i="4"/>
  <c r="D17" i="4"/>
  <c r="C18" i="4"/>
  <c r="E23" i="4"/>
  <c r="C14" i="4"/>
  <c r="H14" i="4"/>
  <c r="D18" i="4"/>
  <c r="C19" i="4"/>
  <c r="C16" i="4"/>
  <c r="H15" i="4"/>
  <c r="C13" i="4"/>
  <c r="D13" i="4"/>
  <c r="B54" i="4" a="1"/>
  <c r="B54" i="4" s="1"/>
  <c r="K54" i="4"/>
  <c r="M30" i="4" a="1"/>
  <c r="M30" i="4" s="1"/>
  <c r="H30" i="4"/>
  <c r="D30" i="4"/>
  <c r="C30" i="4"/>
  <c r="M6" i="4" a="1"/>
  <c r="M6" i="4" s="1"/>
  <c r="C6" i="4"/>
  <c r="H6" i="4"/>
  <c r="D6" i="4"/>
  <c r="C39" i="5" l="1"/>
  <c r="C31" i="3"/>
  <c r="B39" i="5"/>
  <c r="K33" i="4"/>
  <c r="F39" i="4"/>
  <c r="G39" i="4" s="1"/>
  <c r="I39" i="4" s="1"/>
  <c r="J39" i="4" s="1"/>
  <c r="L39" i="4" s="1"/>
  <c r="F48" i="4"/>
  <c r="G48" i="4" s="1"/>
  <c r="I48" i="4" s="1"/>
  <c r="F50" i="4"/>
  <c r="G50" i="4" s="1"/>
  <c r="I50" i="4" s="1"/>
  <c r="F9" i="4"/>
  <c r="G9" i="4" s="1"/>
  <c r="I9" i="4" s="1"/>
  <c r="K9" i="4" s="1"/>
  <c r="G35" i="4"/>
  <c r="I35" i="4" s="1"/>
  <c r="I10" i="5"/>
  <c r="J10" i="5"/>
  <c r="K10" i="5"/>
  <c r="B18" i="5"/>
  <c r="F82" i="4"/>
  <c r="G82" i="4" s="1"/>
  <c r="I82" i="4" s="1"/>
  <c r="F81" i="4"/>
  <c r="G81" i="4" s="1"/>
  <c r="I81" i="4" s="1"/>
  <c r="J81" i="4" s="1"/>
  <c r="L81" i="4" s="1"/>
  <c r="F83" i="4"/>
  <c r="K47" i="4"/>
  <c r="F10" i="4"/>
  <c r="G10" i="4" s="1"/>
  <c r="I10" i="4" s="1"/>
  <c r="F67" i="4"/>
  <c r="G67" i="4" s="1"/>
  <c r="I67" i="4" s="1"/>
  <c r="B68" i="4" s="1" a="1"/>
  <c r="B68" i="4" s="1"/>
  <c r="I69" i="4"/>
  <c r="K69" i="4" s="1"/>
  <c r="F84" i="4"/>
  <c r="G84" i="4" s="1"/>
  <c r="I84" i="4" s="1"/>
  <c r="K84" i="4" s="1"/>
  <c r="F55" i="4"/>
  <c r="G55" i="4" s="1"/>
  <c r="I55" i="4" s="1"/>
  <c r="J55" i="4" s="1"/>
  <c r="L55" i="4" s="1"/>
  <c r="G45" i="4"/>
  <c r="I45" i="4" s="1"/>
  <c r="K45" i="4" s="1"/>
  <c r="I37" i="4"/>
  <c r="J37" i="4" s="1"/>
  <c r="L37" i="4" s="1"/>
  <c r="G49" i="4"/>
  <c r="I49" i="4" s="1"/>
  <c r="E26" i="4"/>
  <c r="K82" i="4"/>
  <c r="J82" i="4"/>
  <c r="L82" i="4" s="1"/>
  <c r="B82" i="4" a="1"/>
  <c r="B82" i="4" s="1"/>
  <c r="K68" i="4"/>
  <c r="J68" i="4"/>
  <c r="L68" i="4" s="1"/>
  <c r="K81" i="4"/>
  <c r="E73" i="4"/>
  <c r="E72" i="4"/>
  <c r="F72" i="4"/>
  <c r="E58" i="4"/>
  <c r="F58" i="4" s="1"/>
  <c r="F80" i="4"/>
  <c r="G80" i="4" s="1"/>
  <c r="I80" i="4" s="1"/>
  <c r="E57" i="4"/>
  <c r="E59" i="4"/>
  <c r="E76" i="4"/>
  <c r="F76" i="4" s="1"/>
  <c r="G63" i="4"/>
  <c r="I63" i="4" s="1"/>
  <c r="E61" i="4"/>
  <c r="E60" i="4"/>
  <c r="F56" i="4"/>
  <c r="G56" i="4" s="1"/>
  <c r="I56" i="4" s="1"/>
  <c r="G77" i="4"/>
  <c r="I77" i="4" s="1"/>
  <c r="E65" i="4"/>
  <c r="E71" i="4"/>
  <c r="G70" i="4"/>
  <c r="I70" i="4" s="1"/>
  <c r="G64" i="4"/>
  <c r="I64" i="4" s="1"/>
  <c r="E74" i="4"/>
  <c r="E75" i="4"/>
  <c r="G66" i="4"/>
  <c r="I66" i="4" s="1"/>
  <c r="G79" i="4"/>
  <c r="I79" i="4" s="1"/>
  <c r="E62" i="4"/>
  <c r="G83" i="4"/>
  <c r="I83" i="4" s="1"/>
  <c r="F78" i="4"/>
  <c r="G78" i="4" s="1"/>
  <c r="I78" i="4" s="1"/>
  <c r="K39" i="4"/>
  <c r="K50" i="4"/>
  <c r="J50" i="4"/>
  <c r="L50" i="4" s="1"/>
  <c r="J45" i="4"/>
  <c r="L45" i="4" s="1"/>
  <c r="J34" i="4"/>
  <c r="L34" i="4" s="1"/>
  <c r="K34" i="4"/>
  <c r="G36" i="4"/>
  <c r="I36" i="4" s="1"/>
  <c r="G31" i="4"/>
  <c r="I31" i="4" s="1"/>
  <c r="E42" i="4"/>
  <c r="F42" i="4" s="1"/>
  <c r="F32" i="4"/>
  <c r="G32" i="4" s="1"/>
  <c r="I32" i="4" s="1"/>
  <c r="B33" i="4" s="1" a="1"/>
  <c r="B33" i="4" s="1"/>
  <c r="B34" i="4" a="1"/>
  <c r="B34" i="4" s="1"/>
  <c r="M34" i="4" s="1" a="1"/>
  <c r="M34" i="4" s="1"/>
  <c r="F38" i="4"/>
  <c r="G38" i="4" s="1"/>
  <c r="I38" i="4" s="1"/>
  <c r="B39" i="4" s="1" a="1"/>
  <c r="B39" i="4" s="1"/>
  <c r="F43" i="4"/>
  <c r="G43" i="4" s="1"/>
  <c r="I43" i="4" s="1"/>
  <c r="F44" i="4"/>
  <c r="G44" i="4" s="1"/>
  <c r="I44" i="4" s="1"/>
  <c r="E41" i="4"/>
  <c r="E40" i="4"/>
  <c r="F40" i="4"/>
  <c r="G46" i="4"/>
  <c r="I46" i="4" s="1"/>
  <c r="B47" i="4" s="1" a="1"/>
  <c r="B47" i="4" s="1"/>
  <c r="K12" i="4"/>
  <c r="J12" i="4"/>
  <c r="L12" i="4" s="1"/>
  <c r="B21" i="4" a="1"/>
  <c r="B21" i="4" s="1"/>
  <c r="J21" i="4"/>
  <c r="L21" i="4" s="1"/>
  <c r="K21" i="4"/>
  <c r="B9" i="4" a="1"/>
  <c r="B9" i="4" s="1"/>
  <c r="J9" i="4"/>
  <c r="L9" i="4" s="1"/>
  <c r="E17" i="4"/>
  <c r="E13" i="4"/>
  <c r="F23" i="4"/>
  <c r="G23" i="4" s="1"/>
  <c r="I23" i="4" s="1"/>
  <c r="F20" i="4"/>
  <c r="G20" i="4" s="1"/>
  <c r="I20" i="4" s="1"/>
  <c r="G11" i="4"/>
  <c r="I11" i="4" s="1"/>
  <c r="B12" i="4" s="1" a="1"/>
  <c r="B12" i="4" s="1"/>
  <c r="G8" i="4"/>
  <c r="I8" i="4" s="1"/>
  <c r="E15" i="4"/>
  <c r="K7" i="4"/>
  <c r="J7" i="4"/>
  <c r="L7" i="4" s="1"/>
  <c r="E18" i="4"/>
  <c r="G22" i="4"/>
  <c r="I22" i="4" s="1"/>
  <c r="E14" i="4"/>
  <c r="F14" i="4" s="1"/>
  <c r="F24" i="4"/>
  <c r="G24" i="4" s="1"/>
  <c r="I24" i="4" s="1"/>
  <c r="G25" i="4"/>
  <c r="I25" i="4" s="1"/>
  <c r="E16" i="4"/>
  <c r="F16" i="4" s="1"/>
  <c r="G19" i="4"/>
  <c r="I19" i="4" s="1"/>
  <c r="E30" i="4"/>
  <c r="F30" i="4"/>
  <c r="E6" i="4"/>
  <c r="F6" i="4" s="1"/>
  <c r="B48" i="4" l="1" a="1"/>
  <c r="B48" i="4" s="1"/>
  <c r="J48" i="4"/>
  <c r="L48" i="4" s="1"/>
  <c r="K48" i="4"/>
  <c r="K35" i="4"/>
  <c r="J35" i="4"/>
  <c r="L35" i="4" s="1"/>
  <c r="B35" i="4" a="1"/>
  <c r="B35" i="4" s="1"/>
  <c r="M35" i="4" s="1" a="1"/>
  <c r="M35" i="4" s="1"/>
  <c r="B81" i="4" a="1"/>
  <c r="B81" i="4" s="1"/>
  <c r="M82" i="4" s="1" a="1"/>
  <c r="M82" i="4" s="1"/>
  <c r="B33" i="5"/>
  <c r="B35" i="5"/>
  <c r="B19" i="5"/>
  <c r="B69" i="4" a="1"/>
  <c r="B69" i="4" s="1"/>
  <c r="M69" i="4" s="1" a="1"/>
  <c r="M69" i="4" s="1"/>
  <c r="J84" i="4"/>
  <c r="L84" i="4" s="1"/>
  <c r="B55" i="4" a="1"/>
  <c r="B55" i="4" s="1"/>
  <c r="J69" i="4"/>
  <c r="L69" i="4" s="1"/>
  <c r="B84" i="4" a="1"/>
  <c r="B84" i="4" s="1"/>
  <c r="K55" i="4"/>
  <c r="B37" i="4" a="1"/>
  <c r="B37" i="4" s="1"/>
  <c r="B45" i="4" a="1"/>
  <c r="B45" i="4" s="1"/>
  <c r="K37" i="4"/>
  <c r="J49" i="4"/>
  <c r="L49" i="4" s="1"/>
  <c r="B49" i="4" a="1"/>
  <c r="B49" i="4" s="1"/>
  <c r="M49" i="4" s="1" a="1"/>
  <c r="M49" i="4" s="1"/>
  <c r="B50" i="4" a="1"/>
  <c r="B50" i="4" s="1"/>
  <c r="K49" i="4"/>
  <c r="M48" i="4" a="1"/>
  <c r="M48" i="4" s="1"/>
  <c r="F26" i="4"/>
  <c r="G26" i="4" s="1"/>
  <c r="I26" i="4" s="1"/>
  <c r="J80" i="4"/>
  <c r="L80" i="4" s="1"/>
  <c r="K80" i="4"/>
  <c r="B80" i="4" a="1"/>
  <c r="B80" i="4" s="1"/>
  <c r="K56" i="4"/>
  <c r="J56" i="4"/>
  <c r="L56" i="4" s="1"/>
  <c r="B56" i="4" a="1"/>
  <c r="B56" i="4" s="1"/>
  <c r="G62" i="4"/>
  <c r="I62" i="4" s="1"/>
  <c r="K79" i="4"/>
  <c r="J79" i="4"/>
  <c r="L79" i="4" s="1"/>
  <c r="B79" i="4" a="1"/>
  <c r="B79" i="4" s="1"/>
  <c r="K78" i="4"/>
  <c r="J78" i="4"/>
  <c r="L78" i="4" s="1"/>
  <c r="B78" i="4" a="1"/>
  <c r="B78" i="4" s="1"/>
  <c r="J77" i="4"/>
  <c r="L77" i="4" s="1"/>
  <c r="K77" i="4"/>
  <c r="B77" i="4" a="1"/>
  <c r="B77" i="4" s="1"/>
  <c r="F62" i="4"/>
  <c r="K66" i="4"/>
  <c r="J66" i="4"/>
  <c r="L66" i="4" s="1"/>
  <c r="B66" i="4" a="1"/>
  <c r="B66" i="4" s="1"/>
  <c r="F75" i="4"/>
  <c r="G75" i="4" s="1"/>
  <c r="I75" i="4" s="1"/>
  <c r="J63" i="4"/>
  <c r="L63" i="4" s="1"/>
  <c r="K63" i="4"/>
  <c r="B63" i="4" a="1"/>
  <c r="B63" i="4" s="1"/>
  <c r="G76" i="4"/>
  <c r="I76" i="4" s="1"/>
  <c r="K70" i="4"/>
  <c r="B70" i="4" a="1"/>
  <c r="B70" i="4" s="1"/>
  <c r="M70" i="4" s="1" a="1"/>
  <c r="M70" i="4" s="1"/>
  <c r="J70" i="4"/>
  <c r="L70" i="4" s="1"/>
  <c r="G72" i="4"/>
  <c r="I72" i="4" s="1"/>
  <c r="J67" i="4"/>
  <c r="L67" i="4" s="1"/>
  <c r="B67" i="4" a="1"/>
  <c r="B67" i="4" s="1"/>
  <c r="M68" i="4" s="1" a="1"/>
  <c r="M68" i="4" s="1"/>
  <c r="K67" i="4"/>
  <c r="F57" i="4"/>
  <c r="G57" i="4" s="1"/>
  <c r="I57" i="4" s="1"/>
  <c r="F60" i="4"/>
  <c r="G60" i="4" s="1"/>
  <c r="I60" i="4" s="1"/>
  <c r="F61" i="4"/>
  <c r="G61" i="4" s="1"/>
  <c r="I61" i="4" s="1"/>
  <c r="F74" i="4"/>
  <c r="G74" i="4" s="1"/>
  <c r="I74" i="4" s="1"/>
  <c r="G58" i="4"/>
  <c r="I58" i="4" s="1"/>
  <c r="J64" i="4"/>
  <c r="L64" i="4" s="1"/>
  <c r="B64" i="4" a="1"/>
  <c r="B64" i="4" s="1"/>
  <c r="K64" i="4"/>
  <c r="F71" i="4"/>
  <c r="G71" i="4" s="1"/>
  <c r="I71" i="4" s="1"/>
  <c r="F59" i="4"/>
  <c r="G59" i="4" s="1"/>
  <c r="I59" i="4" s="1"/>
  <c r="F73" i="4"/>
  <c r="G73" i="4" s="1"/>
  <c r="I73" i="4" s="1"/>
  <c r="K83" i="4"/>
  <c r="J83" i="4"/>
  <c r="L83" i="4" s="1"/>
  <c r="B83" i="4" a="1"/>
  <c r="B83" i="4" s="1"/>
  <c r="M83" i="4" s="1" a="1"/>
  <c r="M83" i="4" s="1"/>
  <c r="F65" i="4"/>
  <c r="G65" i="4" s="1"/>
  <c r="I65" i="4" s="1"/>
  <c r="K43" i="4"/>
  <c r="J43" i="4"/>
  <c r="L43" i="4" s="1"/>
  <c r="J44" i="4"/>
  <c r="L44" i="4" s="1"/>
  <c r="K44" i="4"/>
  <c r="B44" i="4" a="1"/>
  <c r="B44" i="4" s="1"/>
  <c r="K32" i="4"/>
  <c r="J32" i="4"/>
  <c r="L32" i="4" s="1"/>
  <c r="B32" i="4" a="1"/>
  <c r="B32" i="4" s="1"/>
  <c r="G40" i="4"/>
  <c r="I40" i="4" s="1"/>
  <c r="F41" i="4"/>
  <c r="G41" i="4" s="1"/>
  <c r="I41" i="4" s="1"/>
  <c r="J31" i="4"/>
  <c r="L31" i="4" s="1"/>
  <c r="K31" i="4"/>
  <c r="J38" i="4"/>
  <c r="L38" i="4" s="1"/>
  <c r="K38" i="4"/>
  <c r="B38" i="4" a="1"/>
  <c r="B38" i="4" s="1"/>
  <c r="M38" i="4" s="1" a="1"/>
  <c r="M38" i="4" s="1"/>
  <c r="J46" i="4"/>
  <c r="L46" i="4" s="1"/>
  <c r="K46" i="4"/>
  <c r="B46" i="4" a="1"/>
  <c r="B46" i="4" s="1"/>
  <c r="M46" i="4" s="1" a="1"/>
  <c r="M46" i="4" s="1"/>
  <c r="G42" i="4"/>
  <c r="I42" i="4" s="1"/>
  <c r="B43" i="4" s="1" a="1"/>
  <c r="B43" i="4" s="1"/>
  <c r="K36" i="4"/>
  <c r="J36" i="4"/>
  <c r="L36" i="4" s="1"/>
  <c r="B36" i="4" a="1"/>
  <c r="B36" i="4" s="1"/>
  <c r="M36" i="4" s="1" a="1"/>
  <c r="M36" i="4" s="1"/>
  <c r="B24" i="4" a="1"/>
  <c r="B24" i="4" s="1"/>
  <c r="J24" i="4"/>
  <c r="L24" i="4" s="1"/>
  <c r="K24" i="4"/>
  <c r="B23" i="4" a="1"/>
  <c r="B23" i="4" s="1"/>
  <c r="J23" i="4"/>
  <c r="L23" i="4" s="1"/>
  <c r="K23" i="4"/>
  <c r="K8" i="4"/>
  <c r="J8" i="4"/>
  <c r="L8" i="4" s="1"/>
  <c r="B8" i="4" a="1"/>
  <c r="B8" i="4" s="1"/>
  <c r="F15" i="4"/>
  <c r="G15" i="4" s="1"/>
  <c r="I15" i="4" s="1"/>
  <c r="K20" i="4"/>
  <c r="J20" i="4"/>
  <c r="L20" i="4" s="1"/>
  <c r="B20" i="4" a="1"/>
  <c r="B20" i="4" s="1"/>
  <c r="F17" i="4"/>
  <c r="G17" i="4" s="1"/>
  <c r="I17" i="4" s="1"/>
  <c r="G16" i="4"/>
  <c r="I16" i="4" s="1"/>
  <c r="J25" i="4"/>
  <c r="L25" i="4" s="1"/>
  <c r="K25" i="4"/>
  <c r="B25" i="4" a="1"/>
  <c r="B25" i="4" s="1"/>
  <c r="G14" i="4"/>
  <c r="I14" i="4" s="1"/>
  <c r="J11" i="4"/>
  <c r="L11" i="4" s="1"/>
  <c r="B11" i="4" a="1"/>
  <c r="B11" i="4" s="1"/>
  <c r="K11" i="4"/>
  <c r="B22" i="4" a="1"/>
  <c r="B22" i="4" s="1"/>
  <c r="M22" i="4" s="1" a="1"/>
  <c r="M22" i="4" s="1"/>
  <c r="K22" i="4"/>
  <c r="J22" i="4"/>
  <c r="L22" i="4" s="1"/>
  <c r="F13" i="4"/>
  <c r="G13" i="4" s="1"/>
  <c r="I13" i="4" s="1"/>
  <c r="J19" i="4"/>
  <c r="L19" i="4" s="1"/>
  <c r="K19" i="4"/>
  <c r="F18" i="4"/>
  <c r="G18" i="4" s="1"/>
  <c r="I18" i="4" s="1"/>
  <c r="B19" i="4" s="1" a="1"/>
  <c r="B19" i="4" s="1"/>
  <c r="J10" i="4"/>
  <c r="L10" i="4" s="1"/>
  <c r="B10" i="4" a="1"/>
  <c r="B10" i="4" s="1"/>
  <c r="M10" i="4" s="1" a="1"/>
  <c r="M10" i="4" s="1"/>
  <c r="K10" i="4"/>
  <c r="G30" i="4"/>
  <c r="I30" i="4" s="1"/>
  <c r="B31" i="4" s="1" a="1"/>
  <c r="B31" i="4" s="1"/>
  <c r="G6" i="4"/>
  <c r="I6" i="4" s="1"/>
  <c r="B7" i="4" s="1" a="1"/>
  <c r="B7" i="4" s="1"/>
  <c r="M50" i="4" l="1" a="1"/>
  <c r="M50" i="4" s="1"/>
  <c r="M56" i="4" a="1"/>
  <c r="M56" i="4" s="1"/>
  <c r="M55" i="4" a="1"/>
  <c r="M55" i="4" s="1"/>
  <c r="M79" i="4" a="1"/>
  <c r="M79" i="4" s="1"/>
  <c r="M7" i="4" a="1"/>
  <c r="M7" i="4" s="1"/>
  <c r="M31" i="4" a="1"/>
  <c r="M31" i="4" s="1"/>
  <c r="M25" i="4" a="1"/>
  <c r="M25" i="4" s="1"/>
  <c r="M23" i="4" a="1"/>
  <c r="M23" i="4" s="1"/>
  <c r="C27" i="5"/>
  <c r="C28" i="5" s="1"/>
  <c r="D27" i="5"/>
  <c r="D28" i="5" s="1"/>
  <c r="B27" i="5"/>
  <c r="M84" i="4" a="1"/>
  <c r="M84" i="4" s="1"/>
  <c r="M78" i="4" a="1"/>
  <c r="M78" i="4" s="1"/>
  <c r="M80" i="4" a="1"/>
  <c r="M80" i="4" s="1"/>
  <c r="M67" i="4" a="1"/>
  <c r="M67" i="4" s="1"/>
  <c r="M64" i="4" a="1"/>
  <c r="M64" i="4" s="1"/>
  <c r="M81" i="4" a="1"/>
  <c r="M81" i="4" s="1"/>
  <c r="M32" i="4" a="1"/>
  <c r="M32" i="4" s="1"/>
  <c r="M33" i="4" a="1"/>
  <c r="M33" i="4" s="1"/>
  <c r="M47" i="4" a="1"/>
  <c r="M47" i="4" s="1"/>
  <c r="M45" i="4" a="1"/>
  <c r="M45" i="4" s="1"/>
  <c r="M44" i="4" a="1"/>
  <c r="M44" i="4" s="1"/>
  <c r="M37" i="4" a="1"/>
  <c r="M37" i="4" s="1"/>
  <c r="M39" i="4" a="1"/>
  <c r="M39" i="4" s="1"/>
  <c r="M11" i="4" a="1"/>
  <c r="M11" i="4" s="1"/>
  <c r="J26" i="4"/>
  <c r="L26" i="4" s="1"/>
  <c r="B26" i="4" a="1"/>
  <c r="B26" i="4" s="1"/>
  <c r="M26" i="4" s="1" a="1"/>
  <c r="M26" i="4" s="1"/>
  <c r="K26" i="4"/>
  <c r="M12" i="4" a="1"/>
  <c r="M12" i="4" s="1"/>
  <c r="M20" i="4" a="1"/>
  <c r="M20" i="4" s="1"/>
  <c r="M21" i="4" a="1"/>
  <c r="M21" i="4" s="1"/>
  <c r="M24" i="4" a="1"/>
  <c r="M24" i="4" s="1"/>
  <c r="M8" i="4" a="1"/>
  <c r="M8" i="4" s="1"/>
  <c r="M9" i="4" a="1"/>
  <c r="M9" i="4" s="1"/>
  <c r="K65" i="4"/>
  <c r="J65" i="4"/>
  <c r="L65" i="4" s="1"/>
  <c r="B65" i="4" a="1"/>
  <c r="B65" i="4" s="1"/>
  <c r="M65" i="4" s="1" a="1"/>
  <c r="M65" i="4" s="1"/>
  <c r="J60" i="4"/>
  <c r="L60" i="4" s="1"/>
  <c r="K60" i="4"/>
  <c r="B60" i="4" a="1"/>
  <c r="B60" i="4" s="1"/>
  <c r="K75" i="4"/>
  <c r="B75" i="4" a="1"/>
  <c r="B75" i="4" s="1"/>
  <c r="J75" i="4"/>
  <c r="L75" i="4" s="1"/>
  <c r="J57" i="4"/>
  <c r="L57" i="4" s="1"/>
  <c r="K57" i="4"/>
  <c r="B57" i="4" a="1"/>
  <c r="B57" i="4" s="1"/>
  <c r="M57" i="4" s="1" a="1"/>
  <c r="M57" i="4" s="1"/>
  <c r="J73" i="4"/>
  <c r="L73" i="4" s="1"/>
  <c r="B73" i="4" a="1"/>
  <c r="B73" i="4" s="1"/>
  <c r="M73" i="4" s="1" a="1"/>
  <c r="M73" i="4" s="1"/>
  <c r="K73" i="4"/>
  <c r="J59" i="4"/>
  <c r="L59" i="4" s="1"/>
  <c r="K59" i="4"/>
  <c r="B59" i="4" a="1"/>
  <c r="B59" i="4" s="1"/>
  <c r="J71" i="4"/>
  <c r="L71" i="4" s="1"/>
  <c r="K71" i="4"/>
  <c r="B71" i="4" a="1"/>
  <c r="B71" i="4" s="1"/>
  <c r="M71" i="4" s="1" a="1"/>
  <c r="M71" i="4" s="1"/>
  <c r="J72" i="4"/>
  <c r="L72" i="4" s="1"/>
  <c r="K72" i="4"/>
  <c r="B72" i="4" a="1"/>
  <c r="B72" i="4" s="1"/>
  <c r="M72" i="4" s="1" a="1"/>
  <c r="M72" i="4" s="1"/>
  <c r="K62" i="4"/>
  <c r="J62" i="4"/>
  <c r="L62" i="4" s="1"/>
  <c r="B62" i="4" a="1"/>
  <c r="B62" i="4" s="1"/>
  <c r="M62" i="4" s="1" a="1"/>
  <c r="M62" i="4" s="1"/>
  <c r="J74" i="4"/>
  <c r="L74" i="4" s="1"/>
  <c r="K74" i="4"/>
  <c r="B74" i="4" a="1"/>
  <c r="B74" i="4" s="1"/>
  <c r="M74" i="4" s="1" a="1"/>
  <c r="M74" i="4" s="1"/>
  <c r="J61" i="4"/>
  <c r="L61" i="4" s="1"/>
  <c r="K61" i="4"/>
  <c r="B61" i="4" a="1"/>
  <c r="B61" i="4" s="1"/>
  <c r="J58" i="4"/>
  <c r="L58" i="4" s="1"/>
  <c r="K58" i="4"/>
  <c r="B58" i="4" a="1"/>
  <c r="B58" i="4" s="1"/>
  <c r="K76" i="4"/>
  <c r="J76" i="4"/>
  <c r="L76" i="4" s="1"/>
  <c r="B76" i="4" a="1"/>
  <c r="B76" i="4" s="1"/>
  <c r="M76" i="4" s="1" a="1"/>
  <c r="M76" i="4" s="1"/>
  <c r="J41" i="4"/>
  <c r="L41" i="4" s="1"/>
  <c r="K41" i="4"/>
  <c r="B41" i="4" a="1"/>
  <c r="B41" i="4" s="1"/>
  <c r="J40" i="4"/>
  <c r="L40" i="4" s="1"/>
  <c r="B40" i="4" a="1"/>
  <c r="B40" i="4" s="1"/>
  <c r="M40" i="4" s="1" a="1"/>
  <c r="M40" i="4" s="1"/>
  <c r="K40" i="4"/>
  <c r="J42" i="4"/>
  <c r="L42" i="4" s="1"/>
  <c r="K42" i="4"/>
  <c r="B42" i="4" a="1"/>
  <c r="B42" i="4" s="1"/>
  <c r="J15" i="4"/>
  <c r="L15" i="4" s="1"/>
  <c r="K15" i="4"/>
  <c r="B15" i="4" a="1"/>
  <c r="B15" i="4" s="1"/>
  <c r="J14" i="4"/>
  <c r="L14" i="4" s="1"/>
  <c r="B14" i="4" a="1"/>
  <c r="B14" i="4" s="1"/>
  <c r="K14" i="4"/>
  <c r="J17" i="4"/>
  <c r="L17" i="4" s="1"/>
  <c r="K17" i="4"/>
  <c r="B17" i="4" a="1"/>
  <c r="B17" i="4" s="1"/>
  <c r="M17" i="4" s="1" a="1"/>
  <c r="M17" i="4" s="1"/>
  <c r="J13" i="4"/>
  <c r="L13" i="4" s="1"/>
  <c r="B13" i="4" a="1"/>
  <c r="B13" i="4" s="1"/>
  <c r="M13" i="4" s="1" a="1"/>
  <c r="M13" i="4" s="1"/>
  <c r="K13" i="4"/>
  <c r="J18" i="4"/>
  <c r="L18" i="4" s="1"/>
  <c r="K18" i="4"/>
  <c r="B18" i="4" a="1"/>
  <c r="B18" i="4" s="1"/>
  <c r="J16" i="4"/>
  <c r="L16" i="4" s="1"/>
  <c r="K16" i="4"/>
  <c r="B16" i="4" a="1"/>
  <c r="B16" i="4" s="1"/>
  <c r="M16" i="4" s="1" a="1"/>
  <c r="M16" i="4" s="1"/>
  <c r="J30" i="4"/>
  <c r="L30" i="4" s="1"/>
  <c r="B30" i="4" a="1"/>
  <c r="B30" i="4" s="1"/>
  <c r="K30" i="4"/>
  <c r="J6" i="4"/>
  <c r="L6" i="4" s="1"/>
  <c r="B6" i="4" a="1"/>
  <c r="B6" i="4" s="1"/>
  <c r="K6" i="4"/>
  <c r="C90" i="4" l="1" a="1"/>
  <c r="C90" i="4" s="1"/>
  <c r="C89" i="4" a="1"/>
  <c r="C89" i="4" s="1"/>
  <c r="C91" i="4" a="1"/>
  <c r="C91" i="4" s="1"/>
  <c r="M60" i="4" a="1"/>
  <c r="M60" i="4" s="1"/>
  <c r="M42" i="4" a="1"/>
  <c r="M42" i="4" s="1"/>
  <c r="G90" i="4" s="1" a="1"/>
  <c r="G90" i="4" s="1"/>
  <c r="M61" i="4" a="1"/>
  <c r="M61" i="4" s="1"/>
  <c r="M66" i="4" a="1"/>
  <c r="M66" i="4" s="1"/>
  <c r="E27" i="5"/>
  <c r="B38" i="5" s="1"/>
  <c r="C38" i="5" s="1"/>
  <c r="B28" i="5"/>
  <c r="E28" i="5" s="1"/>
  <c r="M77" i="4" a="1"/>
  <c r="M77" i="4" s="1"/>
  <c r="M75" i="4" a="1"/>
  <c r="M75" i="4" s="1"/>
  <c r="M58" i="4" a="1"/>
  <c r="M58" i="4" s="1"/>
  <c r="M59" i="4" a="1"/>
  <c r="M59" i="4" s="1"/>
  <c r="G91" i="4" s="1" a="1"/>
  <c r="G91" i="4" s="1"/>
  <c r="M63" i="4" a="1"/>
  <c r="M63" i="4" s="1"/>
  <c r="M41" i="4" a="1"/>
  <c r="M41" i="4" s="1"/>
  <c r="M43" i="4" a="1"/>
  <c r="M43" i="4" s="1"/>
  <c r="M15" i="4" a="1"/>
  <c r="M15" i="4" s="1"/>
  <c r="M14" i="4" a="1"/>
  <c r="M14" i="4" s="1"/>
  <c r="G89" i="4" s="1" a="1"/>
  <c r="G89" i="4" s="1"/>
  <c r="M18" i="4" a="1"/>
  <c r="M18" i="4" s="1"/>
  <c r="M19" i="4" a="1"/>
  <c r="M19" i="4" s="1"/>
  <c r="E91" i="4" l="1" a="1"/>
  <c r="E91" i="4" s="1"/>
  <c r="D91" i="4" a="1"/>
  <c r="D91" i="4" s="1"/>
  <c r="D89" i="4" a="1"/>
  <c r="D89" i="4" s="1"/>
  <c r="E89" i="4" a="1"/>
  <c r="E89" i="4" s="1"/>
  <c r="D90" i="4" a="1"/>
  <c r="D90" i="4" s="1"/>
  <c r="E90" i="4" a="1"/>
  <c r="E9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<sst xmlns="http://schemas.openxmlformats.org/spreadsheetml/2006/main" count="283" uniqueCount="204">
  <si>
    <t>Inputs — The Named Contract</t>
  </si>
  <si>
    <t>Blue = typed input (traceable to spec Component 1) · Black = calculated (contains a formula)</t>
  </si>
  <si>
    <t>Named range</t>
  </si>
  <si>
    <t>Value</t>
  </si>
  <si>
    <t>Unit</t>
  </si>
  <si>
    <t>Derived from</t>
  </si>
  <si>
    <t>Source</t>
  </si>
  <si>
    <t>Farm-level inputs</t>
  </si>
  <si>
    <t>season_weeks</t>
  </si>
  <si>
    <t>weeks</t>
  </si>
  <si>
    <t>—</t>
  </si>
  <si>
    <t>case README — scenario table</t>
  </si>
  <si>
    <t>beds_total</t>
  </si>
  <si>
    <t>beds</t>
  </si>
  <si>
    <t>fixed_costs</t>
  </si>
  <si>
    <t>$/season</t>
  </si>
  <si>
    <t>Labor inputs</t>
  </si>
  <si>
    <t>farmer_salary</t>
  </si>
  <si>
    <t>farmer_hrs_wk</t>
  </si>
  <si>
    <t>hrs/week</t>
  </si>
  <si>
    <t>farmer_field_pct</t>
  </si>
  <si>
    <t>share</t>
  </si>
  <si>
    <t>farmer_hrs_paid</t>
  </si>
  <si>
    <t>hrs/season</t>
  </si>
  <si>
    <t>farmer_hrs_wk * season_weeks</t>
  </si>
  <si>
    <t>derived</t>
  </si>
  <si>
    <t>farmer_hrs_field</t>
  </si>
  <si>
    <t>farmer_hrs_paid * farmer_field_pct</t>
  </si>
  <si>
    <t>farmer_wage</t>
  </si>
  <si>
    <t>$/hr</t>
  </si>
  <si>
    <t>farmer_salary / farmer_hrs_paid</t>
  </si>
  <si>
    <t>temp_salary</t>
  </si>
  <si>
    <t>$/season/worker</t>
  </si>
  <si>
    <t>temp_hrs_each</t>
  </si>
  <si>
    <t>hrs/worker</t>
  </si>
  <si>
    <t>— (separate contract, not derived)</t>
  </si>
  <si>
    <t>temp_wage</t>
  </si>
  <si>
    <t>temp_salary / temp_hrs_each</t>
  </si>
  <si>
    <t>temp_max</t>
  </si>
  <si>
    <t>workers</t>
  </si>
  <si>
    <t>temp_hrs_avail</t>
  </si>
  <si>
    <t>temp_max * temp_hrs_each</t>
  </si>
  <si>
    <t>Crop inputs</t>
  </si>
  <si>
    <t>Tomato</t>
  </si>
  <si>
    <t>Carrot</t>
  </si>
  <si>
    <t>Mesclun</t>
  </si>
  <si>
    <t>&lt;crop&gt;_crop_price</t>
  </si>
  <si>
    <t>$/bed</t>
  </si>
  <si>
    <t>case README — crop table</t>
  </si>
  <si>
    <t>&lt;crop&gt;_crop_fert</t>
  </si>
  <si>
    <t>&lt;crop&gt;_crop_dim</t>
  </si>
  <si>
    <t>per bed</t>
  </si>
  <si>
    <t>&lt;crop&gt;_crop_cap</t>
  </si>
  <si>
    <t>&lt;crop&gt;_crop_hrswk</t>
  </si>
  <si>
    <t>hrs/week/bed</t>
  </si>
  <si>
    <t>case README — crop table; carrot = tomato÷3, mesclun = tomato÷2</t>
  </si>
  <si>
    <t>Checks</t>
  </si>
  <si>
    <t>farmer_hrs_field * farmer_wage</t>
  </si>
  <si>
    <t>must equal half of farmer_salary</t>
  </si>
  <si>
    <t>spec §4.3</t>
  </si>
  <si>
    <t>Standalone Marginal-Cost Schedules</t>
  </si>
  <si>
    <t>Each block answers: if this were the only crop grown, what would the q-th bed cost? q comes from the row's own position. No formula here references the mix (spec §2, §3.4).</t>
  </si>
  <si>
    <t>Tomato — standalone schedule (q = 0 to tomato_crop_cap)</t>
  </si>
  <si>
    <t>q (beds)</t>
  </si>
  <si>
    <t>MC ($/bed)</t>
  </si>
  <si>
    <t>Price ($/bed)</t>
  </si>
  <si>
    <t>Labor hrs</t>
  </si>
  <si>
    <t>Perm hrs</t>
  </si>
  <si>
    <t>Temp hrs</t>
  </si>
  <si>
    <t>Labor cost ($)</t>
  </si>
  <si>
    <t>Fert cost ($)</t>
  </si>
  <si>
    <t>Variable cost ($)</t>
  </si>
  <si>
    <t>Total cost ($)</t>
  </si>
  <si>
    <t>AVC ($/bed)</t>
  </si>
  <si>
    <t>ATC ($/bed)</t>
  </si>
  <si>
    <t>MC falls</t>
  </si>
  <si>
    <t>Carrot — standalone schedule (q = 0 to carrot_crop_cap)</t>
  </si>
  <si>
    <t>Mesclun — standalone schedule (q = 0 to mesclun_crop_cap)</t>
  </si>
  <si>
    <t>q = 0 row anchor</t>
  </si>
  <si>
    <t>Standalone P = MC crossings and MC-fall locations (spec §3.5, §5.6)</t>
  </si>
  <si>
    <t>Crop</t>
  </si>
  <si>
    <t>Crossing q (first upward)</t>
  </si>
  <si>
    <t>MC at crossing ($)</t>
  </si>
  <si>
    <t>MC at crossing + 1 ($)</t>
  </si>
  <si>
    <t>Cap (beds)</t>
  </si>
  <si>
    <t>Beds where MC falls (all)</t>
  </si>
  <si>
    <t>Mix — Decision, Labor Build-Up, Season P&amp;L, Constraint Status</t>
  </si>
  <si>
    <t>Solver runs on this sheet. Delivered at 0 / 0 / 0 (spec §4.4). Blue = typed input · Black = calculated.</t>
  </si>
  <si>
    <t>Decision (§5.1)</t>
  </si>
  <si>
    <t>tomato_crop_beds</t>
  </si>
  <si>
    <t>beds — integer, Solver-controlled</t>
  </si>
  <si>
    <t>carrot_crop_beds</t>
  </si>
  <si>
    <t>mesclun_crop_beds</t>
  </si>
  <si>
    <t>Total planted (mix_beds_total)</t>
  </si>
  <si>
    <t>Labor build-up (§5.3)</t>
  </si>
  <si>
    <t>mix_hrs_tomato</t>
  </si>
  <si>
    <t>mix_hrs_carrot</t>
  </si>
  <si>
    <t>mix_hrs_mesclun</t>
  </si>
  <si>
    <t>mix_hrs_total</t>
  </si>
  <si>
    <t>perm_hrs_used</t>
  </si>
  <si>
    <t>hrs/season — farmer field hours, consumed first</t>
  </si>
  <si>
    <t>temp_hrs_used</t>
  </si>
  <si>
    <t>temp_workers_needed</t>
  </si>
  <si>
    <t>workers — fractional permitted</t>
  </si>
  <si>
    <t>labor_cost_total</t>
  </si>
  <si>
    <t>labor_rate_blended</t>
  </si>
  <si>
    <t>$/hr — guarded at zero mix</t>
  </si>
  <si>
    <t>Per crop (§5.4)</t>
  </si>
  <si>
    <t>Metric</t>
  </si>
  <si>
    <t>Total</t>
  </si>
  <si>
    <t>Beds</t>
  </si>
  <si>
    <t>Labor hours</t>
  </si>
  <si>
    <t>Revenue ($)</t>
  </si>
  <si>
    <t>Fertilizer cost ($)</t>
  </si>
  <si>
    <t>Allocated labor cost ($, blended rate)</t>
  </si>
  <si>
    <t>Contribution ($)</t>
  </si>
  <si>
    <t>Season P&amp;L (§5.2)</t>
  </si>
  <si>
    <t>revenue_total</t>
  </si>
  <si>
    <t>fert_total</t>
  </si>
  <si>
    <t>season_profit</t>
  </si>
  <si>
    <t>Internal checks (§4.3)</t>
  </si>
  <si>
    <t>SUM of per-crop labor cost − labor_cost_total</t>
  </si>
  <si>
    <t>farmer_hrs_field × farmer_wage</t>
  </si>
  <si>
    <t>Constraint status (§5.5)</t>
  </si>
  <si>
    <t>Constraint</t>
  </si>
  <si>
    <t>Limit</t>
  </si>
  <si>
    <t>Used</t>
  </si>
  <si>
    <t>Status</t>
  </si>
  <si>
    <t>Feasible?</t>
  </si>
  <si>
    <t>Marginal profit of +1 bed ($) — from re-solve</t>
  </si>
  <si>
    <t>Total beds ≤ beds_total</t>
  </si>
  <si>
    <t>Tomato beds ≤ tomato_crop_cap</t>
  </si>
  <si>
    <t>Carrot beds ≤ carrot_crop_cap</t>
  </si>
  <si>
    <t>Mesclun beds ≤ mesclun_crop_cap</t>
  </si>
  <si>
    <t>Temp workers ≤ temp_max</t>
  </si>
  <si>
    <t>Marginal profit column is left empty by the builder: raise one cap by a single bed, re-run Solver from the optimum, and enter the change in season_profit (spec §4.4, §5.5).</t>
  </si>
  <si>
    <t>Charts — Marginal Cost vs Price (standalone schedules, spec §5.7)</t>
  </si>
  <si>
    <t>Series start at q = 1: MC is undefined at q = 0. Source: MC Schedules. No chart references the mix.</t>
  </si>
  <si>
    <t>Marginal Analysis Model — Perfect Competition</t>
  </si>
  <si>
    <t>Built from spec.md (Marginal Analysis Model, perfect-competition · marginal-analysis).</t>
  </si>
  <si>
    <t>Sheet map</t>
  </si>
  <si>
    <t>README</t>
  </si>
  <si>
    <t>Conventions, Solver setup steps, and the cell color key.</t>
  </si>
  <si>
    <t>Inputs</t>
  </si>
  <si>
    <t>Every named range in spec Component 1. The only sheet containing typed numbers.</t>
  </si>
  <si>
    <t>MC Schedules</t>
  </si>
  <si>
    <t>One block per crop, q = 0 to that crop's cap: labor hours, costs, MC, AVC, ATC; plus crossings and MC-fall locations.</t>
  </si>
  <si>
    <t>Mix</t>
  </si>
  <si>
    <t>Decision cells, farm labor build-up, season P&amp;L, constraint checks. Solver runs here.</t>
  </si>
  <si>
    <t>Charts</t>
  </si>
  <si>
    <t>Marginal cost against price, one chart per crop.</t>
  </si>
  <si>
    <t>Conventions</t>
  </si>
  <si>
    <t>Named ranges</t>
  </si>
  <si>
    <t>Lowercase with underscores. Per-crop values use &lt;crop&gt;_crop_&lt;attribute&gt;; crops are tomato_crop, carrot_crop, mesclun_crop.</t>
  </si>
  <si>
    <t>No cell addresses</t>
  </si>
  <si>
    <t>No formula references a cell address. All logic runs on named ranges; row position enters only through ROW() against a named block anchor.</t>
  </si>
  <si>
    <t>Derived, not typed</t>
  </si>
  <si>
    <t>Where an input is derived from another input, the sheet stores the relationship, not a rounded result.</t>
  </si>
  <si>
    <t>No rounding</t>
  </si>
  <si>
    <t>No ROUND/ROUNDUP/ROUNDDOWN or truncation in any calculation. Rounding is display formatting only.</t>
  </si>
  <si>
    <t>Schedules are standalone</t>
  </si>
  <si>
    <t>No formula on MC Schedules references tomato_crop_beds, carrot_crop_beds, or mesclun_crop_beds. Each schedule assumes the farmer's full 720 field hours.</t>
  </si>
  <si>
    <t>Binding test</t>
  </si>
  <si>
    <t>A constraint is binding when used &gt;= limit - 0.0001, slack otherwise. Exact floating-point equality is never relied on.</t>
  </si>
  <si>
    <t>Color key</t>
  </si>
  <si>
    <t>Blue</t>
  </si>
  <si>
    <t>Input — a typed value, traceable to the spec Component 1 table.</t>
  </si>
  <si>
    <t>Black</t>
  </si>
  <si>
    <t>Calculated — must contain a formula.</t>
  </si>
  <si>
    <t>Yellow fill</t>
  </si>
  <si>
    <t>Cell to be completed by the analyst (the marginal-profit column on Mix).</t>
  </si>
  <si>
    <t>Solver setup (spec §4.4)</t>
  </si>
  <si>
    <t>Engine</t>
  </si>
  <si>
    <t>GRG Nonlinear.</t>
  </si>
  <si>
    <t>Objective</t>
  </si>
  <si>
    <t>season_profit (Mix) — maximize.</t>
  </si>
  <si>
    <t>Changing cells</t>
  </si>
  <si>
    <t>tomato_crop_beds, carrot_crop_beds, mesclun_crop_beds (Mix).</t>
  </si>
  <si>
    <t>Constraints</t>
  </si>
  <si>
    <t>each *_crop_beds = integer; each *_crop_beds &gt;= 0; each *_crop_beds &lt;= its *_crop_cap; mix_beds_total &lt;= beds_total; temp_workers_needed &lt;= temp_max.</t>
  </si>
  <si>
    <t>Run 1 — start</t>
  </si>
  <si>
    <t>tomato 0 / carrot 0 / mesclun 0 (the delivered state).</t>
  </si>
  <si>
    <t>Run 2 — start</t>
  </si>
  <si>
    <t>tomato 20 / carrot 0 / mesclun 0.</t>
  </si>
  <si>
    <t>Recording</t>
  </si>
  <si>
    <t>Record both results. If they disagree, report the disagreement as path-dependence; do not discard the worse run.</t>
  </si>
  <si>
    <t>Marginal profit of +1 bed</t>
  </si>
  <si>
    <t>Raise one cap by a single bed, re-run Solver from the optimum, and enter the change in season_profit in the yellow column on Mix. Not read off the MC schedule.</t>
  </si>
  <si>
    <t>Not typed by the builder</t>
  </si>
  <si>
    <t>No optimum and no re-solve result is typed into this workbook. It is delivered at 0 / 0 / 0 with the marginal-profit column empty.</t>
  </si>
  <si>
    <t>Validation anchors (spec §4.1–§4.2)</t>
  </si>
  <si>
    <t>Tomato labor at q = 1</t>
  </si>
  <si>
    <t>99.0 hrs — MC Schedules, tomato block.</t>
  </si>
  <si>
    <t>Tomato labor at q = 10</t>
  </si>
  <si>
    <t>2,334.4 hrs — catches a dropped exponent.</t>
  </si>
  <si>
    <t>Optimal mix (published)</t>
  </si>
  <si>
    <t>tomato 10 · carrot 20 · mesclun 30 (60 beds) — to be reproduced by Solver, not typed.</t>
  </si>
  <si>
    <t>Season profit (published)</t>
  </si>
  <si>
    <t>$42,762 within $1.</t>
  </si>
  <si>
    <t>Standalone P = MC crossings</t>
  </si>
  <si>
    <t>tomato ~10 · carrot ~10 · mesclun ~6 (±1 bed) — reported on MC Schedules, rows 89-91.</t>
  </si>
  <si>
    <t>$25,000 — half the farmer's salary; confirms the wage denominator is farmer_hrs_paid (1,440), not 720.</t>
  </si>
  <si>
    <t>SUM of per-crop labor cost</t>
  </si>
  <si>
    <t>Equals labor_cost_total — confirms the blended allocation conserves dollars (Mix, internal checks).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</si>
</sst>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;\(&quot;$&quot;#,##0\);\-"/>
    <numFmt numFmtId="165" formatCode="0.0%"/>
    <numFmt numFmtId="166" formatCode="#,##0.0"/>
    <numFmt numFmtId="167" formatCode="&quot;$&quot;#,##0.0000"/>
    <numFmt numFmtId="168" formatCode="0.0000"/>
    <numFmt numFmtId="169" formatCode="&quot;$&quot;#,##0"/>
    <numFmt numFmtId="170" formatCode="0.000"/>
    <numFmt numFmtId="171" formatCode="#,##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3" fontId="5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8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1" fillId="3" borderId="0" xfId="0" applyFont="1" applyFill="1" applyAlignment="1">
      <alignment horizontal="center" wrapText="1"/>
    </xf>
    <xf numFmtId="1" fontId="5" fillId="0" borderId="0" xfId="0" applyNumberFormat="1" applyFont="1"/>
    <xf numFmtId="0" fontId="7" fillId="0" borderId="0" xfId="0" applyFont="1" applyAlignment="1">
      <alignment horizontal="center"/>
    </xf>
    <xf numFmtId="0" fontId="1" fillId="3" borderId="0" xfId="0" applyFont="1" applyFill="1" applyAlignment="1">
      <alignment wrapText="1"/>
    </xf>
    <xf numFmtId="169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66" fontId="0" fillId="0" borderId="0" xfId="0" applyNumberFormat="1"/>
    <xf numFmtId="170" fontId="0" fillId="0" borderId="0" xfId="0" applyNumberFormat="1"/>
    <xf numFmtId="167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171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0" fontId="8" fillId="0" borderId="0" xfId="0" applyFont="1"/>
    <xf numFmtId="0" fontId="9" fillId="0" borderId="0" xfId="0" applyFont="1"/>
    <xf numFmtId="0" fontId="1" fillId="4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Tomato — Marginal Cost vs Price ($/bed)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 Schedules'!$A$7:$A$26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'MC Schedules'!$B$7:$B$26</c:f>
              <c:numCache>
                <c:formatCode>"$"#,##0;\("$"#,##0\);\-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5795.6250000000036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4906.2750000000051</c:v>
                </c:pt>
                <c:pt idx="6">
                  <c:v>5585.7089062500017</c:v>
                </c:pt>
                <c:pt idx="7">
                  <c:v>6360.7668437500033</c:v>
                </c:pt>
                <c:pt idx="8">
                  <c:v>7243.7792796875074</c:v>
                </c:pt>
                <c:pt idx="9">
                  <c:v>8248.586534375012</c:v>
                </c:pt>
                <c:pt idx="10">
                  <c:v>9390.7174472031256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C-2745-BD45-7AFEE664A1DC}"/>
            </c:ext>
          </c:extLst>
        </c:ser>
        <c:ser>
          <c:idx val="1"/>
          <c:order val="1"/>
          <c:tx>
            <c:v>Price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'MC Schedules'!$A$7:$A$26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'MC Schedules'!$C$7:$C$26</c:f>
              <c:numCache>
                <c:formatCode>"$"#,##0;\("$"#,##0\);\-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C-2745-BD45-7AFEE664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776704"/>
        <c:axId val="216780288"/>
      </c:scatterChart>
      <c:valAx>
        <c:axId val="21677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Beds (q)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80288"/>
        <c:crosses val="autoZero"/>
        <c:crossBetween val="midCat"/>
      </c:valAx>
      <c:valAx>
        <c:axId val="2167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per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7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Carrot — Marginal Cost vs Price ($/bed)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 Schedules'!$A$31:$A$50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'MC Schedules'!$B$31:$B$50</c:f>
              <c:numCache>
                <c:formatCode>"$"#,##0;\("$"#,##0\);\-</c:formatCode>
                <c:ptCount val="20"/>
                <c:pt idx="0">
                  <c:v>1507.7083333333333</c:v>
                </c:pt>
                <c:pt idx="1">
                  <c:v>1561.0937499999998</c:v>
                </c:pt>
                <c:pt idx="2">
                  <c:v>1616.481119791667</c:v>
                </c:pt>
                <c:pt idx="3">
                  <c:v>1673.9371744791652</c:v>
                </c:pt>
                <c:pt idx="4">
                  <c:v>1733.530731201171</c:v>
                </c:pt>
                <c:pt idx="5">
                  <c:v>1795.332755025227</c:v>
                </c:pt>
                <c:pt idx="6">
                  <c:v>1859.4164233334868</c:v>
                </c:pt>
                <c:pt idx="7">
                  <c:v>1925.8571920852646</c:v>
                </c:pt>
                <c:pt idx="8">
                  <c:v>1994.7328640100477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2296.2267626316061</c:v>
                </c:pt>
                <c:pt idx="13">
                  <c:v>2378.5311568237667</c:v>
                </c:pt>
                <c:pt idx="14">
                  <c:v>2463.7906289988823</c:v>
                </c:pt>
                <c:pt idx="15">
                  <c:v>2552.1014928097429</c:v>
                </c:pt>
                <c:pt idx="16">
                  <c:v>1670.9013431626554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D-2A47-900F-36190EE92EB7}"/>
            </c:ext>
          </c:extLst>
        </c:ser>
        <c:ser>
          <c:idx val="1"/>
          <c:order val="1"/>
          <c:tx>
            <c:v>Price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'MC Schedules'!$A$31:$A$50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'MC Schedules'!$C$31:$C$50</c:f>
              <c:numCache>
                <c:formatCode>"$"#,##0;\("$"#,##0\);\-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9D-2A47-900F-36190EE9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782976"/>
        <c:axId val="218188864"/>
      </c:scatterChart>
      <c:valAx>
        <c:axId val="21678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Beds (q)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8864"/>
        <c:crosses val="autoZero"/>
        <c:crossBetween val="midCat"/>
      </c:valAx>
      <c:valAx>
        <c:axId val="2181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per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8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Mesclun — Marginal Cost vs Price ($/bed)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 Schedules'!$A$55:$A$84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'MC Schedules'!$B$55:$B$84</c:f>
              <c:numCache>
                <c:formatCode>"$"#,##0;\("$"#,##0\);\-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2541.8743896484366</c:v>
                </c:pt>
                <c:pt idx="3">
                  <c:v>2582.920684814454</c:v>
                </c:pt>
                <c:pt idx="4">
                  <c:v>2624.7334694862348</c:v>
                </c:pt>
                <c:pt idx="5">
                  <c:v>2667.3254924178127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2845.7479681671139</c:v>
                </c:pt>
                <c:pt idx="10">
                  <c:v>2892.4344824110776</c:v>
                </c:pt>
                <c:pt idx="11">
                  <c:v>2939.9810113911262</c:v>
                </c:pt>
                <c:pt idx="12">
                  <c:v>2988.4017607077876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2261.5611356787776</c:v>
                </c:pt>
                <c:pt idx="25">
                  <c:v>2292.1528465402444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1-5842-A4A2-7AAF3234C932}"/>
            </c:ext>
          </c:extLst>
        </c:ser>
        <c:ser>
          <c:idx val="1"/>
          <c:order val="1"/>
          <c:tx>
            <c:v>Price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'MC Schedules'!$A$55:$A$84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'MC Schedules'!$C$55:$C$84</c:f>
              <c:numCache>
                <c:formatCode>"$"#,##0;\("$"#,##0\);\-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1-5842-A4A2-7AAF3234C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08032"/>
        <c:axId val="221916544"/>
      </c:scatterChart>
      <c:valAx>
        <c:axId val="2219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Beds (q)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16544"/>
        <c:crosses val="autoZero"/>
        <c:crossBetween val="midCat"/>
      </c:valAx>
      <c:valAx>
        <c:axId val="2219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per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0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114300</xdr:rowOff>
    </xdr:from>
    <xdr:to>
      <xdr:col>8</xdr:col>
      <xdr:colOff>762000</xdr:colOff>
      <xdr:row>21</xdr:row>
      <xdr:rowOff>12700</xdr:rowOff>
    </xdr:to>
    <xdr:graphicFrame macro="">
      <xdr:nvGraphicFramePr>
        <xdr:cNvPr id="5" name="Tomato MC vs Price">
          <a:extLst>
            <a:ext uri="{FF2B5EF4-FFF2-40B4-BE49-F238E27FC236}">
              <a16:creationId xmlns:a16="http://schemas.microsoft.com/office/drawing/2014/main" id="{6D8F209E-F8BF-0918-2D14-A98B1FC2C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63500</xdr:rowOff>
    </xdr:from>
    <xdr:to>
      <xdr:col>8</xdr:col>
      <xdr:colOff>762000</xdr:colOff>
      <xdr:row>39</xdr:row>
      <xdr:rowOff>165100</xdr:rowOff>
    </xdr:to>
    <xdr:graphicFrame macro="">
      <xdr:nvGraphicFramePr>
        <xdr:cNvPr id="6" name="Carrot MC vs Price">
          <a:extLst>
            <a:ext uri="{FF2B5EF4-FFF2-40B4-BE49-F238E27FC236}">
              <a16:creationId xmlns:a16="http://schemas.microsoft.com/office/drawing/2014/main" id="{96E44085-CE63-3CE5-5D15-AC72B3465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41</xdr:row>
      <xdr:rowOff>12700</xdr:rowOff>
    </xdr:from>
    <xdr:to>
      <xdr:col>8</xdr:col>
      <xdr:colOff>762000</xdr:colOff>
      <xdr:row>58</xdr:row>
      <xdr:rowOff>114300</xdr:rowOff>
    </xdr:to>
    <xdr:graphicFrame macro="">
      <xdr:nvGraphicFramePr>
        <xdr:cNvPr id="7" name="Mesclun MC vs Price">
          <a:extLst>
            <a:ext uri="{FF2B5EF4-FFF2-40B4-BE49-F238E27FC236}">
              <a16:creationId xmlns:a16="http://schemas.microsoft.com/office/drawing/2014/main" id="{6BEF7755-B023-0587-314E-16AF3B4F4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4FE6A1-572A-B84A-83BC-1B90A74C6323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59b1b50-2ac2-403c-aafd-fc2c7a51e574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C182-9175-B343-A215-86DF337D46FE}">
  <dimension ref="A1:B60"/>
  <sheetViews>
    <sheetView topLeftCell="A8" workbookViewId="0"/>
  </sheetViews>
  <sheetFormatPr baseColWidth="10" defaultRowHeight="16" x14ac:dyDescent="0.2"/>
  <cols>
    <col min="1" max="1" width="36.6640625" customWidth="1"/>
    <col min="2" max="2" width="113.33203125" customWidth="1"/>
  </cols>
  <sheetData>
    <row r="1" spans="1:2" ht="22" x14ac:dyDescent="0.3">
      <c r="A1" s="34" t="s">
        <v>138</v>
      </c>
      <c r="B1" s="37"/>
    </row>
    <row r="2" spans="1:2" x14ac:dyDescent="0.2">
      <c r="A2" s="3" t="s">
        <v>139</v>
      </c>
      <c r="B2" s="37"/>
    </row>
    <row r="3" spans="1:2" x14ac:dyDescent="0.2">
      <c r="B3" s="37"/>
    </row>
    <row r="4" spans="1:2" x14ac:dyDescent="0.2">
      <c r="A4" s="4" t="s">
        <v>140</v>
      </c>
      <c r="B4" s="38"/>
    </row>
    <row r="5" spans="1:2" ht="17" x14ac:dyDescent="0.2">
      <c r="A5" s="1" t="s">
        <v>141</v>
      </c>
      <c r="B5" s="37" t="s">
        <v>142</v>
      </c>
    </row>
    <row r="6" spans="1:2" ht="17" x14ac:dyDescent="0.2">
      <c r="A6" s="1" t="s">
        <v>143</v>
      </c>
      <c r="B6" s="37" t="s">
        <v>144</v>
      </c>
    </row>
    <row r="7" spans="1:2" ht="17" x14ac:dyDescent="0.2">
      <c r="A7" s="1" t="s">
        <v>145</v>
      </c>
      <c r="B7" s="37" t="s">
        <v>146</v>
      </c>
    </row>
    <row r="8" spans="1:2" ht="17" x14ac:dyDescent="0.2">
      <c r="A8" s="1" t="s">
        <v>147</v>
      </c>
      <c r="B8" s="37" t="s">
        <v>148</v>
      </c>
    </row>
    <row r="9" spans="1:2" ht="17" x14ac:dyDescent="0.2">
      <c r="A9" s="1" t="s">
        <v>149</v>
      </c>
      <c r="B9" s="37" t="s">
        <v>150</v>
      </c>
    </row>
    <row r="10" spans="1:2" x14ac:dyDescent="0.2">
      <c r="B10" s="37"/>
    </row>
    <row r="11" spans="1:2" x14ac:dyDescent="0.2">
      <c r="A11" s="4" t="s">
        <v>151</v>
      </c>
      <c r="B11" s="38"/>
    </row>
    <row r="12" spans="1:2" ht="17" x14ac:dyDescent="0.2">
      <c r="A12" t="s">
        <v>152</v>
      </c>
      <c r="B12" s="37" t="s">
        <v>153</v>
      </c>
    </row>
    <row r="13" spans="1:2" ht="34" x14ac:dyDescent="0.2">
      <c r="A13" t="s">
        <v>154</v>
      </c>
      <c r="B13" s="37" t="s">
        <v>155</v>
      </c>
    </row>
    <row r="14" spans="1:2" ht="17" x14ac:dyDescent="0.2">
      <c r="A14" t="s">
        <v>156</v>
      </c>
      <c r="B14" s="37" t="s">
        <v>157</v>
      </c>
    </row>
    <row r="15" spans="1:2" ht="17" x14ac:dyDescent="0.2">
      <c r="A15" t="s">
        <v>158</v>
      </c>
      <c r="B15" s="37" t="s">
        <v>159</v>
      </c>
    </row>
    <row r="16" spans="1:2" ht="34" x14ac:dyDescent="0.2">
      <c r="A16" t="s">
        <v>160</v>
      </c>
      <c r="B16" s="37" t="s">
        <v>161</v>
      </c>
    </row>
    <row r="17" spans="1:2" ht="17" x14ac:dyDescent="0.2">
      <c r="A17" t="s">
        <v>162</v>
      </c>
      <c r="B17" s="37" t="s">
        <v>163</v>
      </c>
    </row>
    <row r="18" spans="1:2" x14ac:dyDescent="0.2">
      <c r="B18" s="37"/>
    </row>
    <row r="19" spans="1:2" x14ac:dyDescent="0.2">
      <c r="A19" s="4" t="s">
        <v>164</v>
      </c>
      <c r="B19" s="38"/>
    </row>
    <row r="20" spans="1:2" ht="17" x14ac:dyDescent="0.2">
      <c r="A20" s="35" t="s">
        <v>165</v>
      </c>
      <c r="B20" s="37" t="s">
        <v>166</v>
      </c>
    </row>
    <row r="21" spans="1:2" ht="17" x14ac:dyDescent="0.2">
      <c r="A21" s="1" t="s">
        <v>167</v>
      </c>
      <c r="B21" s="37" t="s">
        <v>168</v>
      </c>
    </row>
    <row r="22" spans="1:2" ht="17" x14ac:dyDescent="0.2">
      <c r="A22" s="36" t="s">
        <v>169</v>
      </c>
      <c r="B22" s="37" t="s">
        <v>170</v>
      </c>
    </row>
    <row r="23" spans="1:2" x14ac:dyDescent="0.2">
      <c r="B23" s="37"/>
    </row>
    <row r="24" spans="1:2" x14ac:dyDescent="0.2">
      <c r="A24" s="4" t="s">
        <v>171</v>
      </c>
      <c r="B24" s="38"/>
    </row>
    <row r="25" spans="1:2" ht="17" x14ac:dyDescent="0.2">
      <c r="A25" t="s">
        <v>172</v>
      </c>
      <c r="B25" s="37" t="s">
        <v>173</v>
      </c>
    </row>
    <row r="26" spans="1:2" ht="17" x14ac:dyDescent="0.2">
      <c r="A26" t="s">
        <v>174</v>
      </c>
      <c r="B26" s="37" t="s">
        <v>175</v>
      </c>
    </row>
    <row r="27" spans="1:2" ht="17" x14ac:dyDescent="0.2">
      <c r="A27" t="s">
        <v>176</v>
      </c>
      <c r="B27" s="37" t="s">
        <v>177</v>
      </c>
    </row>
    <row r="28" spans="1:2" ht="34" x14ac:dyDescent="0.2">
      <c r="A28" t="s">
        <v>178</v>
      </c>
      <c r="B28" s="37" t="s">
        <v>179</v>
      </c>
    </row>
    <row r="29" spans="1:2" ht="17" x14ac:dyDescent="0.2">
      <c r="A29" t="s">
        <v>180</v>
      </c>
      <c r="B29" s="37" t="s">
        <v>181</v>
      </c>
    </row>
    <row r="30" spans="1:2" ht="17" x14ac:dyDescent="0.2">
      <c r="A30" t="s">
        <v>182</v>
      </c>
      <c r="B30" s="37" t="s">
        <v>183</v>
      </c>
    </row>
    <row r="31" spans="1:2" ht="17" x14ac:dyDescent="0.2">
      <c r="A31" t="s">
        <v>184</v>
      </c>
      <c r="B31" s="37" t="s">
        <v>185</v>
      </c>
    </row>
    <row r="32" spans="1:2" ht="34" x14ac:dyDescent="0.2">
      <c r="A32" t="s">
        <v>186</v>
      </c>
      <c r="B32" s="37" t="s">
        <v>187</v>
      </c>
    </row>
    <row r="33" spans="1:2" ht="17" x14ac:dyDescent="0.2">
      <c r="A33" t="s">
        <v>188</v>
      </c>
      <c r="B33" s="37" t="s">
        <v>189</v>
      </c>
    </row>
    <row r="34" spans="1:2" x14ac:dyDescent="0.2">
      <c r="B34" s="37"/>
    </row>
    <row r="35" spans="1:2" x14ac:dyDescent="0.2">
      <c r="A35" t="s">
        <v>190</v>
      </c>
      <c r="B35" s="37"/>
    </row>
    <row r="36" spans="1:2" ht="17" x14ac:dyDescent="0.2">
      <c r="A36" s="4" t="s">
        <v>191</v>
      </c>
      <c r="B36" s="38" t="s">
        <v>192</v>
      </c>
    </row>
    <row r="37" spans="1:2" ht="17" x14ac:dyDescent="0.2">
      <c r="A37" t="s">
        <v>193</v>
      </c>
      <c r="B37" s="37" t="s">
        <v>194</v>
      </c>
    </row>
    <row r="38" spans="1:2" ht="17" x14ac:dyDescent="0.2">
      <c r="A38" t="s">
        <v>195</v>
      </c>
      <c r="B38" s="37" t="s">
        <v>196</v>
      </c>
    </row>
    <row r="39" spans="1:2" ht="17" x14ac:dyDescent="0.2">
      <c r="A39" t="s">
        <v>197</v>
      </c>
      <c r="B39" s="37" t="s">
        <v>198</v>
      </c>
    </row>
    <row r="40" spans="1:2" ht="17" x14ac:dyDescent="0.2">
      <c r="A40" t="s">
        <v>199</v>
      </c>
      <c r="B40" s="37" t="s">
        <v>200</v>
      </c>
    </row>
    <row r="41" spans="1:2" ht="17" x14ac:dyDescent="0.2">
      <c r="A41" t="s">
        <v>122</v>
      </c>
      <c r="B41" s="37" t="s">
        <v>201</v>
      </c>
    </row>
    <row r="42" spans="1:2" ht="17" x14ac:dyDescent="0.2">
      <c r="A42" t="s">
        <v>202</v>
      </c>
      <c r="B42" s="37" t="s">
        <v>203</v>
      </c>
    </row>
    <row r="43" spans="1:2" x14ac:dyDescent="0.2">
      <c r="B43" s="37"/>
    </row>
    <row r="44" spans="1:2" x14ac:dyDescent="0.2">
      <c r="B44" s="37"/>
    </row>
    <row r="45" spans="1:2" x14ac:dyDescent="0.2">
      <c r="B45" s="37"/>
    </row>
    <row r="46" spans="1:2" x14ac:dyDescent="0.2">
      <c r="B46" s="37"/>
    </row>
    <row r="47" spans="1:2" x14ac:dyDescent="0.2">
      <c r="B47" s="37"/>
    </row>
    <row r="48" spans="1:2" x14ac:dyDescent="0.2">
      <c r="B48" s="37"/>
    </row>
    <row r="49" spans="2:2" x14ac:dyDescent="0.2">
      <c r="B49" s="37"/>
    </row>
    <row r="50" spans="2:2" x14ac:dyDescent="0.2">
      <c r="B50" s="37"/>
    </row>
    <row r="51" spans="2:2" x14ac:dyDescent="0.2">
      <c r="B51" s="37"/>
    </row>
    <row r="52" spans="2:2" x14ac:dyDescent="0.2">
      <c r="B52" s="37"/>
    </row>
    <row r="53" spans="2:2" x14ac:dyDescent="0.2">
      <c r="B53" s="37"/>
    </row>
    <row r="54" spans="2:2" x14ac:dyDescent="0.2">
      <c r="B54" s="37"/>
    </row>
    <row r="55" spans="2:2" x14ac:dyDescent="0.2">
      <c r="B55" s="37"/>
    </row>
    <row r="56" spans="2:2" x14ac:dyDescent="0.2">
      <c r="B56" s="37"/>
    </row>
    <row r="57" spans="2:2" x14ac:dyDescent="0.2">
      <c r="B57" s="37"/>
    </row>
    <row r="58" spans="2:2" x14ac:dyDescent="0.2">
      <c r="B58" s="37"/>
    </row>
    <row r="59" spans="2:2" x14ac:dyDescent="0.2">
      <c r="B59" s="37"/>
    </row>
    <row r="60" spans="2:2" x14ac:dyDescent="0.2">
      <c r="B60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BFC9-67F4-AF4E-84ED-DF35B98D4776}">
  <dimension ref="A1:F31"/>
  <sheetViews>
    <sheetView workbookViewId="0">
      <selection activeCell="B6" sqref="B6"/>
    </sheetView>
  </sheetViews>
  <sheetFormatPr baseColWidth="10" defaultRowHeight="16" x14ac:dyDescent="0.2"/>
  <cols>
    <col min="1" max="1" width="28.33203125" customWidth="1"/>
    <col min="2" max="4" width="15.83203125" customWidth="1"/>
    <col min="5" max="5" width="38.33203125" customWidth="1"/>
    <col min="6" max="6" width="50" customWidth="1"/>
  </cols>
  <sheetData>
    <row r="1" spans="1:6" ht="19" x14ac:dyDescent="0.25">
      <c r="A1" s="2" t="s">
        <v>0</v>
      </c>
    </row>
    <row r="2" spans="1:6" x14ac:dyDescent="0.2">
      <c r="A2" s="3" t="s">
        <v>1</v>
      </c>
    </row>
    <row r="3" spans="1:6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/>
    </row>
    <row r="4" spans="1:6" x14ac:dyDescent="0.2">
      <c r="A4" s="4" t="s">
        <v>7</v>
      </c>
    </row>
    <row r="5" spans="1:6" x14ac:dyDescent="0.2">
      <c r="A5" t="s">
        <v>8</v>
      </c>
      <c r="B5" s="6">
        <v>36</v>
      </c>
      <c r="C5" t="s">
        <v>9</v>
      </c>
      <c r="D5" t="s">
        <v>10</v>
      </c>
      <c r="E5" t="s">
        <v>11</v>
      </c>
    </row>
    <row r="6" spans="1:6" x14ac:dyDescent="0.2">
      <c r="A6" t="s">
        <v>12</v>
      </c>
      <c r="B6" s="6">
        <v>64</v>
      </c>
      <c r="C6" t="s">
        <v>13</v>
      </c>
      <c r="D6" t="s">
        <v>10</v>
      </c>
      <c r="E6" t="s">
        <v>11</v>
      </c>
    </row>
    <row r="7" spans="1:6" x14ac:dyDescent="0.2">
      <c r="A7" t="s">
        <v>14</v>
      </c>
      <c r="B7" s="8">
        <v>20000</v>
      </c>
      <c r="C7" t="s">
        <v>15</v>
      </c>
      <c r="D7" t="s">
        <v>10</v>
      </c>
      <c r="E7" t="s">
        <v>11</v>
      </c>
    </row>
    <row r="9" spans="1:6" x14ac:dyDescent="0.2">
      <c r="A9" s="4" t="s">
        <v>16</v>
      </c>
    </row>
    <row r="10" spans="1:6" x14ac:dyDescent="0.2">
      <c r="A10" t="s">
        <v>17</v>
      </c>
      <c r="B10" s="8">
        <v>50000</v>
      </c>
      <c r="C10" t="s">
        <v>15</v>
      </c>
      <c r="D10" t="s">
        <v>10</v>
      </c>
      <c r="E10" t="s">
        <v>11</v>
      </c>
    </row>
    <row r="11" spans="1:6" x14ac:dyDescent="0.2">
      <c r="A11" t="s">
        <v>18</v>
      </c>
      <c r="B11" s="6">
        <v>40</v>
      </c>
      <c r="C11" t="s">
        <v>19</v>
      </c>
      <c r="D11" t="s">
        <v>10</v>
      </c>
      <c r="E11" t="s">
        <v>11</v>
      </c>
    </row>
    <row r="12" spans="1:6" x14ac:dyDescent="0.2">
      <c r="A12" t="s">
        <v>20</v>
      </c>
      <c r="B12" s="9">
        <v>0.5</v>
      </c>
      <c r="C12" t="s">
        <v>21</v>
      </c>
      <c r="D12" t="s">
        <v>10</v>
      </c>
      <c r="E12" t="s">
        <v>11</v>
      </c>
    </row>
    <row r="13" spans="1:6" x14ac:dyDescent="0.2">
      <c r="A13" t="s">
        <v>22</v>
      </c>
      <c r="B13" s="10">
        <f>farmer_hrs_wk*season_weeks</f>
        <v>1440</v>
      </c>
      <c r="C13" t="s">
        <v>23</v>
      </c>
      <c r="D13" t="s">
        <v>24</v>
      </c>
      <c r="E13" t="s">
        <v>25</v>
      </c>
    </row>
    <row r="14" spans="1:6" x14ac:dyDescent="0.2">
      <c r="A14" t="s">
        <v>26</v>
      </c>
      <c r="B14" s="10">
        <f>farmer_hrs_paid*farmer_field_pct</f>
        <v>720</v>
      </c>
      <c r="C14" t="s">
        <v>23</v>
      </c>
      <c r="D14" t="s">
        <v>27</v>
      </c>
      <c r="E14" t="s">
        <v>25</v>
      </c>
    </row>
    <row r="15" spans="1:6" x14ac:dyDescent="0.2">
      <c r="A15" t="s">
        <v>28</v>
      </c>
      <c r="B15" s="11">
        <f>farmer_salary/farmer_hrs_paid</f>
        <v>34.722222222222221</v>
      </c>
      <c r="C15" t="s">
        <v>29</v>
      </c>
      <c r="D15" t="s">
        <v>30</v>
      </c>
      <c r="E15" t="s">
        <v>25</v>
      </c>
    </row>
    <row r="16" spans="1:6" x14ac:dyDescent="0.2">
      <c r="A16" t="s">
        <v>31</v>
      </c>
      <c r="B16" s="8">
        <v>25000</v>
      </c>
      <c r="C16" t="s">
        <v>32</v>
      </c>
      <c r="D16" t="s">
        <v>10</v>
      </c>
      <c r="E16" t="s">
        <v>11</v>
      </c>
    </row>
    <row r="17" spans="1:6" x14ac:dyDescent="0.2">
      <c r="A17" t="s">
        <v>33</v>
      </c>
      <c r="B17" s="6">
        <v>1440</v>
      </c>
      <c r="C17" t="s">
        <v>34</v>
      </c>
      <c r="D17" t="s">
        <v>35</v>
      </c>
      <c r="E17" t="s">
        <v>11</v>
      </c>
    </row>
    <row r="18" spans="1:6" x14ac:dyDescent="0.2">
      <c r="A18" t="s">
        <v>36</v>
      </c>
      <c r="B18" s="11">
        <f>temp_salary/temp_hrs_each</f>
        <v>17.361111111111111</v>
      </c>
      <c r="C18" t="s">
        <v>29</v>
      </c>
      <c r="D18" t="s">
        <v>37</v>
      </c>
      <c r="E18" t="s">
        <v>25</v>
      </c>
    </row>
    <row r="19" spans="1:6" x14ac:dyDescent="0.2">
      <c r="A19" t="s">
        <v>38</v>
      </c>
      <c r="B19" s="6">
        <v>4</v>
      </c>
      <c r="C19" t="s">
        <v>39</v>
      </c>
      <c r="D19" t="s">
        <v>10</v>
      </c>
      <c r="E19" t="s">
        <v>11</v>
      </c>
    </row>
    <row r="20" spans="1:6" x14ac:dyDescent="0.2">
      <c r="A20" t="s">
        <v>40</v>
      </c>
      <c r="B20" s="12">
        <f>temp_max*temp_hrs_each</f>
        <v>5760</v>
      </c>
      <c r="C20" t="s">
        <v>23</v>
      </c>
      <c r="D20" t="s">
        <v>41</v>
      </c>
      <c r="E20" t="s">
        <v>25</v>
      </c>
    </row>
    <row r="22" spans="1:6" x14ac:dyDescent="0.2">
      <c r="A22" s="4" t="s">
        <v>42</v>
      </c>
    </row>
    <row r="23" spans="1:6" x14ac:dyDescent="0.2">
      <c r="A23" s="5" t="s">
        <v>2</v>
      </c>
      <c r="B23" s="5" t="s">
        <v>43</v>
      </c>
      <c r="C23" s="5" t="s">
        <v>44</v>
      </c>
      <c r="D23" s="5" t="s">
        <v>45</v>
      </c>
      <c r="E23" s="5" t="s">
        <v>4</v>
      </c>
      <c r="F23" s="5" t="s">
        <v>6</v>
      </c>
    </row>
    <row r="24" spans="1:6" x14ac:dyDescent="0.2">
      <c r="A24" t="s">
        <v>46</v>
      </c>
      <c r="B24" s="8">
        <v>8800</v>
      </c>
      <c r="C24" s="8">
        <v>2094</v>
      </c>
      <c r="D24" s="8">
        <v>2700</v>
      </c>
      <c r="E24" t="s">
        <v>47</v>
      </c>
      <c r="F24" t="s">
        <v>48</v>
      </c>
    </row>
    <row r="25" spans="1:6" x14ac:dyDescent="0.2">
      <c r="A25" t="s">
        <v>49</v>
      </c>
      <c r="B25" s="8">
        <v>880</v>
      </c>
      <c r="C25" s="8">
        <v>440</v>
      </c>
      <c r="D25" s="8">
        <v>880</v>
      </c>
      <c r="E25" t="s">
        <v>47</v>
      </c>
      <c r="F25" t="s">
        <v>48</v>
      </c>
    </row>
    <row r="26" spans="1:6" x14ac:dyDescent="0.2">
      <c r="A26" t="s">
        <v>50</v>
      </c>
      <c r="B26" s="13">
        <v>0.1</v>
      </c>
      <c r="C26" s="13">
        <v>2.5000000000000001E-2</v>
      </c>
      <c r="D26" s="13">
        <v>1.2500000000000001E-2</v>
      </c>
      <c r="E26" t="s">
        <v>51</v>
      </c>
      <c r="F26" t="s">
        <v>48</v>
      </c>
    </row>
    <row r="27" spans="1:6" x14ac:dyDescent="0.2">
      <c r="A27" t="s">
        <v>52</v>
      </c>
      <c r="B27" s="6">
        <v>20</v>
      </c>
      <c r="C27" s="6">
        <v>20</v>
      </c>
      <c r="D27" s="6">
        <v>30</v>
      </c>
      <c r="E27" t="s">
        <v>13</v>
      </c>
      <c r="F27" t="s">
        <v>48</v>
      </c>
    </row>
    <row r="28" spans="1:6" x14ac:dyDescent="0.2">
      <c r="A28" t="s">
        <v>53</v>
      </c>
      <c r="B28" s="14">
        <v>2.5</v>
      </c>
      <c r="C28" s="15">
        <f>tomato_crop_hrswk/3</f>
        <v>0.83333333333333337</v>
      </c>
      <c r="D28" s="15">
        <f>tomato_crop_hrswk/2</f>
        <v>1.25</v>
      </c>
      <c r="E28" t="s">
        <v>54</v>
      </c>
      <c r="F28" t="s">
        <v>55</v>
      </c>
    </row>
    <row r="30" spans="1:6" x14ac:dyDescent="0.2">
      <c r="A30" s="4" t="s">
        <v>56</v>
      </c>
    </row>
    <row r="31" spans="1:6" x14ac:dyDescent="0.2">
      <c r="A31" t="s">
        <v>57</v>
      </c>
      <c r="B31" s="16">
        <f>farmer_hrs_field*farmer_wage</f>
        <v>25000</v>
      </c>
      <c r="C31" s="7" t="str">
        <f>IF(ABS(check_farmer_wage-farmer_salary/2)&lt;0.0001,"PASS","FAIL")</f>
        <v>PASS</v>
      </c>
      <c r="D31" t="s">
        <v>58</v>
      </c>
      <c r="E3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B7AD-C71D-2F46-8316-6F5ADCD1D219}">
  <dimension ref="A1:O91"/>
  <sheetViews>
    <sheetView workbookViewId="0"/>
  </sheetViews>
  <sheetFormatPr baseColWidth="10" defaultRowHeight="16" x14ac:dyDescent="0.2"/>
  <cols>
    <col min="1" max="1" width="10" customWidth="1"/>
    <col min="2" max="13" width="13.6640625" customWidth="1"/>
    <col min="15" max="15" width="18.33203125" customWidth="1"/>
  </cols>
  <sheetData>
    <row r="1" spans="1:15" ht="19" x14ac:dyDescent="0.25">
      <c r="A1" s="2" t="s">
        <v>60</v>
      </c>
    </row>
    <row r="2" spans="1:15" x14ac:dyDescent="0.2">
      <c r="A2" s="3" t="s">
        <v>61</v>
      </c>
    </row>
    <row r="4" spans="1:15" x14ac:dyDescent="0.2">
      <c r="A4" s="4" t="s">
        <v>62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34" x14ac:dyDescent="0.2">
      <c r="A5" s="18" t="s">
        <v>63</v>
      </c>
      <c r="B5" s="18" t="s">
        <v>64</v>
      </c>
      <c r="C5" s="18" t="s">
        <v>65</v>
      </c>
      <c r="D5" s="18" t="s">
        <v>66</v>
      </c>
      <c r="E5" s="18" t="s">
        <v>67</v>
      </c>
      <c r="F5" s="18" t="s">
        <v>68</v>
      </c>
      <c r="G5" s="18" t="s">
        <v>69</v>
      </c>
      <c r="H5" s="18" t="s">
        <v>70</v>
      </c>
      <c r="I5" s="18" t="s">
        <v>71</v>
      </c>
      <c r="J5" s="18" t="s">
        <v>72</v>
      </c>
      <c r="K5" s="18" t="s">
        <v>73</v>
      </c>
      <c r="L5" s="18" t="s">
        <v>74</v>
      </c>
      <c r="M5" s="18" t="s">
        <v>75</v>
      </c>
    </row>
    <row r="6" spans="1:15" x14ac:dyDescent="0.2">
      <c r="A6" s="19">
        <f t="shared" ref="A6:A26" si="0">ROW()-ROW(tomato_sched_anchor)</f>
        <v>0</v>
      </c>
      <c r="B6" s="16" t="str" cm="1">
        <f t="array" ref="B6">IF(_xlfn.SINGLE(tomato_sched_q)=0,"",_xlfn.SINGLE(tomato_sched_vc)-INDEX(tomato_sched_vc,_xlfn.SINGLE(tomato_sched_q)))</f>
        <v/>
      </c>
      <c r="C6" s="16" t="str">
        <f t="shared" ref="C6:C26" si="1">IF(tomato_sched_q=0,"",tomato_crop_price)</f>
        <v/>
      </c>
      <c r="D6" s="10">
        <f t="shared" ref="D6:D26" si="2">tomato_sched_q*tomato_crop_hrswk*season_weeks*(1+tomato_crop_dim)^tomato_sched_q</f>
        <v>0</v>
      </c>
      <c r="E6" s="10">
        <f t="shared" ref="E6:E26" si="3">MIN(_xlfn.SINGLE(tomato_sched_hrs),farmer_hrs_field)</f>
        <v>0</v>
      </c>
      <c r="F6" s="10">
        <f t="shared" ref="F6:F26" si="4">tomato_sched_hrs-tomato_sched_perm</f>
        <v>0</v>
      </c>
      <c r="G6" s="16">
        <f t="shared" ref="G6:G26" si="5">tomato_sched_perm*farmer_wage+tomato_sched_temp*temp_wage</f>
        <v>0</v>
      </c>
      <c r="H6" s="16">
        <f t="shared" ref="H6:H26" si="6">tomato_sched_q*tomato_crop_fert</f>
        <v>0</v>
      </c>
      <c r="I6" s="16">
        <f t="shared" ref="I6:I26" si="7">tomato_sched_labor+tomato_sched_fert</f>
        <v>0</v>
      </c>
      <c r="J6" s="16">
        <f t="shared" ref="J6:J26" si="8">tomato_sched_vc+fixed_costs</f>
        <v>20000</v>
      </c>
      <c r="K6" s="16" t="str">
        <f t="shared" ref="K6:K26" si="9">IF(tomato_sched_q=0,"",tomato_sched_vc/tomato_sched_q)</f>
        <v/>
      </c>
      <c r="L6" s="16" t="str">
        <f t="shared" ref="L6:L26" si="10">IF(tomato_sched_q=0,"",tomato_sched_tc/tomato_sched_q)</f>
        <v/>
      </c>
      <c r="M6" s="20" t="str" cm="1">
        <f t="array" ref="M6">IF(_xlfn.SINGLE(tomato_sched_q)&lt;2,"",IF(_xlfn.SINGLE(tomato_sched_mc)&lt;INDEX(tomato_sched_mc,_xlfn.SINGLE(tomato_sched_q)),"FALL",""))</f>
        <v/>
      </c>
      <c r="O6" s="17" t="s">
        <v>78</v>
      </c>
    </row>
    <row r="7" spans="1:15" x14ac:dyDescent="0.2">
      <c r="A7" s="19">
        <f t="shared" si="0"/>
        <v>1</v>
      </c>
      <c r="B7" s="16" cm="1">
        <f t="array" ref="B7">IF(_xlfn.SINGLE(tomato_sched_q)=0,"",_xlfn.SINGLE(tomato_sched_vc)-INDEX(tomato_sched_vc,_xlfn.SINGLE(tomato_sched_q)))</f>
        <v>4317.5</v>
      </c>
      <c r="C7" s="16">
        <f t="shared" si="1"/>
        <v>8800</v>
      </c>
      <c r="D7" s="10">
        <f t="shared" si="2"/>
        <v>99.000000000000014</v>
      </c>
      <c r="E7" s="10">
        <f t="shared" si="3"/>
        <v>99.000000000000014</v>
      </c>
      <c r="F7" s="10">
        <f t="shared" si="4"/>
        <v>0</v>
      </c>
      <c r="G7" s="16">
        <f t="shared" si="5"/>
        <v>3437.5000000000005</v>
      </c>
      <c r="H7" s="16">
        <f t="shared" si="6"/>
        <v>880</v>
      </c>
      <c r="I7" s="16">
        <f t="shared" si="7"/>
        <v>4317.5</v>
      </c>
      <c r="J7" s="16">
        <f t="shared" si="8"/>
        <v>24317.5</v>
      </c>
      <c r="K7" s="16">
        <f t="shared" si="9"/>
        <v>4317.5</v>
      </c>
      <c r="L7" s="16">
        <f t="shared" si="10"/>
        <v>24317.5</v>
      </c>
      <c r="M7" s="20" t="str" cm="1">
        <f t="array" ref="M7">IF(_xlfn.SINGLE(tomato_sched_q)&lt;2,"",IF(_xlfn.SINGLE(tomato_sched_mc)&lt;INDEX(tomato_sched_mc,_xlfn.SINGLE(tomato_sched_q)),"FALL",""))</f>
        <v/>
      </c>
    </row>
    <row r="8" spans="1:15" x14ac:dyDescent="0.2">
      <c r="A8" s="19">
        <f t="shared" si="0"/>
        <v>2</v>
      </c>
      <c r="B8" s="16" cm="1">
        <f t="array" ref="B8">IF(_xlfn.SINGLE(tomato_sched_q)=0,"",_xlfn.SINGLE(tomato_sched_vc)-INDEX(tomato_sched_vc,_xlfn.SINGLE(tomato_sched_q)))</f>
        <v>5005</v>
      </c>
      <c r="C8" s="16">
        <f t="shared" si="1"/>
        <v>8800</v>
      </c>
      <c r="D8" s="10">
        <f t="shared" si="2"/>
        <v>217.80000000000004</v>
      </c>
      <c r="E8" s="10">
        <f t="shared" si="3"/>
        <v>217.80000000000004</v>
      </c>
      <c r="F8" s="10">
        <f t="shared" si="4"/>
        <v>0</v>
      </c>
      <c r="G8" s="16">
        <f t="shared" si="5"/>
        <v>7562.5000000000009</v>
      </c>
      <c r="H8" s="16">
        <f t="shared" si="6"/>
        <v>1760</v>
      </c>
      <c r="I8" s="16">
        <f t="shared" si="7"/>
        <v>9322.5</v>
      </c>
      <c r="J8" s="16">
        <f t="shared" si="8"/>
        <v>29322.5</v>
      </c>
      <c r="K8" s="16">
        <f t="shared" si="9"/>
        <v>4661.25</v>
      </c>
      <c r="L8" s="16">
        <f t="shared" si="10"/>
        <v>14661.25</v>
      </c>
      <c r="M8" s="20" t="str" cm="1">
        <f t="array" ref="M8">IF(_xlfn.SINGLE(tomato_sched_q)&lt;2,"",IF(_xlfn.SINGLE(tomato_sched_mc)&lt;INDEX(tomato_sched_mc,_xlfn.SINGLE(tomato_sched_q)),"FALL",""))</f>
        <v/>
      </c>
    </row>
    <row r="9" spans="1:15" x14ac:dyDescent="0.2">
      <c r="A9" s="19">
        <f t="shared" si="0"/>
        <v>3</v>
      </c>
      <c r="B9" s="16" cm="1">
        <f t="array" ref="B9">IF(_xlfn.SINGLE(tomato_sched_q)=0,"",_xlfn.SINGLE(tomato_sched_vc)-INDEX(tomato_sched_vc,_xlfn.SINGLE(tomato_sched_q)))</f>
        <v>5795.6250000000036</v>
      </c>
      <c r="C9" s="16">
        <f t="shared" si="1"/>
        <v>8800</v>
      </c>
      <c r="D9" s="10">
        <f t="shared" si="2"/>
        <v>359.37000000000012</v>
      </c>
      <c r="E9" s="10">
        <f t="shared" si="3"/>
        <v>359.37000000000012</v>
      </c>
      <c r="F9" s="10">
        <f t="shared" si="4"/>
        <v>0</v>
      </c>
      <c r="G9" s="16">
        <f t="shared" si="5"/>
        <v>12478.125000000004</v>
      </c>
      <c r="H9" s="16">
        <f t="shared" si="6"/>
        <v>2640</v>
      </c>
      <c r="I9" s="16">
        <f t="shared" si="7"/>
        <v>15118.125000000004</v>
      </c>
      <c r="J9" s="16">
        <f t="shared" si="8"/>
        <v>35118.125</v>
      </c>
      <c r="K9" s="16">
        <f t="shared" si="9"/>
        <v>5039.3750000000009</v>
      </c>
      <c r="L9" s="16">
        <f t="shared" si="10"/>
        <v>11706.041666666666</v>
      </c>
      <c r="M9" s="20" t="str" cm="1">
        <f t="array" ref="M9">IF(_xlfn.SINGLE(tomato_sched_q)&lt;2,"",IF(_xlfn.SINGLE(tomato_sched_mc)&lt;INDEX(tomato_sched_mc,_xlfn.SINGLE(tomato_sched_q)),"FALL",""))</f>
        <v/>
      </c>
    </row>
    <row r="10" spans="1:15" x14ac:dyDescent="0.2">
      <c r="A10" s="19">
        <f t="shared" si="0"/>
        <v>4</v>
      </c>
      <c r="B10" s="16" cm="1">
        <f t="array" ref="B10">IF(_xlfn.SINGLE(tomato_sched_q)=0,"",_xlfn.SINGLE(tomato_sched_vc)-INDEX(tomato_sched_vc,_xlfn.SINGLE(tomato_sched_q)))</f>
        <v>6703.125</v>
      </c>
      <c r="C10" s="16">
        <f t="shared" si="1"/>
        <v>8800</v>
      </c>
      <c r="D10" s="10">
        <f t="shared" si="2"/>
        <v>527.07600000000014</v>
      </c>
      <c r="E10" s="10">
        <f t="shared" si="3"/>
        <v>527.07600000000014</v>
      </c>
      <c r="F10" s="10">
        <f t="shared" si="4"/>
        <v>0</v>
      </c>
      <c r="G10" s="16">
        <f t="shared" si="5"/>
        <v>18301.250000000004</v>
      </c>
      <c r="H10" s="16">
        <f t="shared" si="6"/>
        <v>3520</v>
      </c>
      <c r="I10" s="16">
        <f t="shared" si="7"/>
        <v>21821.250000000004</v>
      </c>
      <c r="J10" s="16">
        <f t="shared" si="8"/>
        <v>41821.25</v>
      </c>
      <c r="K10" s="16">
        <f t="shared" si="9"/>
        <v>5455.3125000000009</v>
      </c>
      <c r="L10" s="16">
        <f t="shared" si="10"/>
        <v>10455.3125</v>
      </c>
      <c r="M10" s="20" t="str" cm="1">
        <f t="array" ref="M10">IF(_xlfn.SINGLE(tomato_sched_q)&lt;2,"",IF(_xlfn.SINGLE(tomato_sched_mc)&lt;INDEX(tomato_sched_mc,_xlfn.SINGLE(tomato_sched_q)),"FALL",""))</f>
        <v/>
      </c>
    </row>
    <row r="11" spans="1:15" x14ac:dyDescent="0.2">
      <c r="A11" s="19">
        <f t="shared" si="0"/>
        <v>5</v>
      </c>
      <c r="B11" s="16" cm="1">
        <f t="array" ref="B11">IF(_xlfn.SINGLE(tomato_sched_q)=0,"",_xlfn.SINGLE(tomato_sched_vc)-INDEX(tomato_sched_vc,_xlfn.SINGLE(tomato_sched_q)))</f>
        <v>7660.859375</v>
      </c>
      <c r="C11" s="16">
        <f t="shared" si="1"/>
        <v>8800</v>
      </c>
      <c r="D11" s="10">
        <f t="shared" si="2"/>
        <v>724.72950000000026</v>
      </c>
      <c r="E11" s="10">
        <f t="shared" si="3"/>
        <v>720</v>
      </c>
      <c r="F11" s="10">
        <f t="shared" si="4"/>
        <v>4.7295000000002574</v>
      </c>
      <c r="G11" s="16">
        <f t="shared" si="5"/>
        <v>25082.109375000004</v>
      </c>
      <c r="H11" s="16">
        <f t="shared" si="6"/>
        <v>4400</v>
      </c>
      <c r="I11" s="16">
        <f t="shared" si="7"/>
        <v>29482.109375000004</v>
      </c>
      <c r="J11" s="16">
        <f t="shared" si="8"/>
        <v>49482.109375</v>
      </c>
      <c r="K11" s="16">
        <f t="shared" si="9"/>
        <v>5896.4218750000009</v>
      </c>
      <c r="L11" s="16">
        <f t="shared" si="10"/>
        <v>9896.421875</v>
      </c>
      <c r="M11" s="20" t="str" cm="1">
        <f t="array" ref="M11">IF(_xlfn.SINGLE(tomato_sched_q)&lt;2,"",IF(_xlfn.SINGLE(tomato_sched_mc)&lt;INDEX(tomato_sched_mc,_xlfn.SINGLE(tomato_sched_q)),"FALL",""))</f>
        <v/>
      </c>
    </row>
    <row r="12" spans="1:15" x14ac:dyDescent="0.2">
      <c r="A12" s="19">
        <f t="shared" si="0"/>
        <v>6</v>
      </c>
      <c r="B12" s="16" cm="1">
        <f t="array" ref="B12">IF(_xlfn.SINGLE(tomato_sched_q)=0,"",_xlfn.SINGLE(tomato_sched_vc)-INDEX(tomato_sched_vc,_xlfn.SINGLE(tomato_sched_q)))</f>
        <v>4906.2750000000051</v>
      </c>
      <c r="C12" s="16">
        <f t="shared" si="1"/>
        <v>8800</v>
      </c>
      <c r="D12" s="10">
        <f t="shared" si="2"/>
        <v>956.64294000000041</v>
      </c>
      <c r="E12" s="10">
        <f t="shared" si="3"/>
        <v>720</v>
      </c>
      <c r="F12" s="10">
        <f t="shared" si="4"/>
        <v>236.64294000000041</v>
      </c>
      <c r="G12" s="16">
        <f t="shared" si="5"/>
        <v>29108.384375000009</v>
      </c>
      <c r="H12" s="16">
        <f t="shared" si="6"/>
        <v>5280</v>
      </c>
      <c r="I12" s="16">
        <f t="shared" si="7"/>
        <v>34388.384375000009</v>
      </c>
      <c r="J12" s="16">
        <f t="shared" si="8"/>
        <v>54388.384375000009</v>
      </c>
      <c r="K12" s="16">
        <f t="shared" si="9"/>
        <v>5731.3973958333345</v>
      </c>
      <c r="L12" s="16">
        <f t="shared" si="10"/>
        <v>9064.7307291666675</v>
      </c>
      <c r="M12" s="20" t="str" cm="1">
        <f t="array" ref="M12">IF(_xlfn.SINGLE(tomato_sched_q)&lt;2,"",IF(_xlfn.SINGLE(tomato_sched_mc)&lt;INDEX(tomato_sched_mc,_xlfn.SINGLE(tomato_sched_q)),"FALL",""))</f>
        <v>FALL</v>
      </c>
    </row>
    <row r="13" spans="1:15" x14ac:dyDescent="0.2">
      <c r="A13" s="19">
        <f t="shared" si="0"/>
        <v>7</v>
      </c>
      <c r="B13" s="16" cm="1">
        <f t="array" ref="B13">IF(_xlfn.SINGLE(tomato_sched_q)=0,"",_xlfn.SINGLE(tomato_sched_vc)-INDEX(tomato_sched_vc,_xlfn.SINGLE(tomato_sched_q)))</f>
        <v>5585.7089062500017</v>
      </c>
      <c r="C13" s="16">
        <f t="shared" si="1"/>
        <v>8800</v>
      </c>
      <c r="D13" s="10">
        <f t="shared" si="2"/>
        <v>1227.6917730000007</v>
      </c>
      <c r="E13" s="10">
        <f t="shared" si="3"/>
        <v>720</v>
      </c>
      <c r="F13" s="10">
        <f t="shared" si="4"/>
        <v>507.69177300000069</v>
      </c>
      <c r="G13" s="16">
        <f t="shared" si="5"/>
        <v>33814.09328125001</v>
      </c>
      <c r="H13" s="16">
        <f t="shared" si="6"/>
        <v>6160</v>
      </c>
      <c r="I13" s="16">
        <f t="shared" si="7"/>
        <v>39974.09328125001</v>
      </c>
      <c r="J13" s="16">
        <f t="shared" si="8"/>
        <v>59974.09328125001</v>
      </c>
      <c r="K13" s="16">
        <f t="shared" si="9"/>
        <v>5710.5847544642875</v>
      </c>
      <c r="L13" s="16">
        <f t="shared" si="10"/>
        <v>8567.7276116071444</v>
      </c>
      <c r="M13" s="20" t="str" cm="1">
        <f t="array" ref="M13">IF(_xlfn.SINGLE(tomato_sched_q)&lt;2,"",IF(_xlfn.SINGLE(tomato_sched_mc)&lt;INDEX(tomato_sched_mc,_xlfn.SINGLE(tomato_sched_q)),"FALL",""))</f>
        <v/>
      </c>
    </row>
    <row r="14" spans="1:15" x14ac:dyDescent="0.2">
      <c r="A14" s="19">
        <f t="shared" si="0"/>
        <v>8</v>
      </c>
      <c r="B14" s="16" cm="1">
        <f t="array" ref="B14">IF(_xlfn.SINGLE(tomato_sched_q)=0,"",_xlfn.SINGLE(tomato_sched_vc)-INDEX(tomato_sched_vc,_xlfn.SINGLE(tomato_sched_q)))</f>
        <v>6360.7668437500033</v>
      </c>
      <c r="C14" s="16">
        <f t="shared" si="1"/>
        <v>8800</v>
      </c>
      <c r="D14" s="10">
        <f t="shared" si="2"/>
        <v>1543.3839432000009</v>
      </c>
      <c r="E14" s="10">
        <f t="shared" si="3"/>
        <v>720</v>
      </c>
      <c r="F14" s="10">
        <f t="shared" si="4"/>
        <v>823.38394320000089</v>
      </c>
      <c r="G14" s="16">
        <f t="shared" si="5"/>
        <v>39294.860125000014</v>
      </c>
      <c r="H14" s="16">
        <f t="shared" si="6"/>
        <v>7040</v>
      </c>
      <c r="I14" s="16">
        <f t="shared" si="7"/>
        <v>46334.860125000014</v>
      </c>
      <c r="J14" s="16">
        <f t="shared" si="8"/>
        <v>66334.860125000007</v>
      </c>
      <c r="K14" s="16">
        <f t="shared" si="9"/>
        <v>5791.8575156250017</v>
      </c>
      <c r="L14" s="16">
        <f t="shared" si="10"/>
        <v>8291.8575156250008</v>
      </c>
      <c r="M14" s="20" t="str" cm="1">
        <f t="array" ref="M14">IF(_xlfn.SINGLE(tomato_sched_q)&lt;2,"",IF(_xlfn.SINGLE(tomato_sched_mc)&lt;INDEX(tomato_sched_mc,_xlfn.SINGLE(tomato_sched_q)),"FALL",""))</f>
        <v/>
      </c>
    </row>
    <row r="15" spans="1:15" x14ac:dyDescent="0.2">
      <c r="A15" s="19">
        <f t="shared" si="0"/>
        <v>9</v>
      </c>
      <c r="B15" s="16" cm="1">
        <f t="array" ref="B15">IF(_xlfn.SINGLE(tomato_sched_q)=0,"",_xlfn.SINGLE(tomato_sched_vc)-INDEX(tomato_sched_vc,_xlfn.SINGLE(tomato_sched_q)))</f>
        <v>7243.7792796875074</v>
      </c>
      <c r="C15" s="16">
        <f t="shared" si="1"/>
        <v>8800</v>
      </c>
      <c r="D15" s="10">
        <f t="shared" si="2"/>
        <v>1909.9376297100011</v>
      </c>
      <c r="E15" s="10">
        <f t="shared" si="3"/>
        <v>720</v>
      </c>
      <c r="F15" s="10">
        <f t="shared" si="4"/>
        <v>1189.9376297100011</v>
      </c>
      <c r="G15" s="16">
        <f t="shared" si="5"/>
        <v>45658.639404687521</v>
      </c>
      <c r="H15" s="16">
        <f t="shared" si="6"/>
        <v>7920</v>
      </c>
      <c r="I15" s="16">
        <f t="shared" si="7"/>
        <v>53578.639404687521</v>
      </c>
      <c r="J15" s="16">
        <f t="shared" si="8"/>
        <v>73578.639404687521</v>
      </c>
      <c r="K15" s="16">
        <f t="shared" si="9"/>
        <v>5953.182156076391</v>
      </c>
      <c r="L15" s="16">
        <f t="shared" si="10"/>
        <v>8175.4043782986137</v>
      </c>
      <c r="M15" s="20" t="str" cm="1">
        <f t="array" ref="M15">IF(_xlfn.SINGLE(tomato_sched_q)&lt;2,"",IF(_xlfn.SINGLE(tomato_sched_mc)&lt;INDEX(tomato_sched_mc,_xlfn.SINGLE(tomato_sched_q)),"FALL",""))</f>
        <v/>
      </c>
    </row>
    <row r="16" spans="1:15" x14ac:dyDescent="0.2">
      <c r="A16" s="19">
        <f t="shared" si="0"/>
        <v>10</v>
      </c>
      <c r="B16" s="16" cm="1">
        <f t="array" ref="B16">IF(_xlfn.SINGLE(tomato_sched_q)=0,"",_xlfn.SINGLE(tomato_sched_vc)-INDEX(tomato_sched_vc,_xlfn.SINGLE(tomato_sched_q)))</f>
        <v>8248.586534375012</v>
      </c>
      <c r="C16" s="16">
        <f t="shared" si="1"/>
        <v>8800</v>
      </c>
      <c r="D16" s="10">
        <f t="shared" si="2"/>
        <v>2334.3682140900019</v>
      </c>
      <c r="E16" s="10">
        <f t="shared" si="3"/>
        <v>720</v>
      </c>
      <c r="F16" s="10">
        <f t="shared" si="4"/>
        <v>1614.3682140900019</v>
      </c>
      <c r="G16" s="16">
        <f t="shared" si="5"/>
        <v>53027.225939062533</v>
      </c>
      <c r="H16" s="16">
        <f t="shared" si="6"/>
        <v>8800</v>
      </c>
      <c r="I16" s="16">
        <f t="shared" si="7"/>
        <v>61827.225939062533</v>
      </c>
      <c r="J16" s="16">
        <f t="shared" si="8"/>
        <v>81827.22593906254</v>
      </c>
      <c r="K16" s="16">
        <f t="shared" si="9"/>
        <v>6182.7225939062537</v>
      </c>
      <c r="L16" s="16">
        <f t="shared" si="10"/>
        <v>8182.7225939062537</v>
      </c>
      <c r="M16" s="20" t="str" cm="1">
        <f t="array" ref="M16">IF(_xlfn.SINGLE(tomato_sched_q)&lt;2,"",IF(_xlfn.SINGLE(tomato_sched_mc)&lt;INDEX(tomato_sched_mc,_xlfn.SINGLE(tomato_sched_q)),"FALL",""))</f>
        <v/>
      </c>
    </row>
    <row r="17" spans="1:15" x14ac:dyDescent="0.2">
      <c r="A17" s="19">
        <f t="shared" si="0"/>
        <v>11</v>
      </c>
      <c r="B17" s="16" cm="1">
        <f t="array" ref="B17">IF(_xlfn.SINGLE(tomato_sched_q)=0,"",_xlfn.SINGLE(tomato_sched_vc)-INDEX(tomato_sched_vc,_xlfn.SINGLE(tomato_sched_q)))</f>
        <v>9390.7174472031256</v>
      </c>
      <c r="C17" s="16">
        <f t="shared" si="1"/>
        <v>8800</v>
      </c>
      <c r="D17" s="10">
        <f t="shared" si="2"/>
        <v>2824.5855390489023</v>
      </c>
      <c r="E17" s="10">
        <f t="shared" si="3"/>
        <v>720</v>
      </c>
      <c r="F17" s="10">
        <f t="shared" si="4"/>
        <v>2104.5855390489023</v>
      </c>
      <c r="G17" s="16">
        <f t="shared" si="5"/>
        <v>61537.943386265666</v>
      </c>
      <c r="H17" s="16">
        <f t="shared" si="6"/>
        <v>9680</v>
      </c>
      <c r="I17" s="16">
        <f t="shared" si="7"/>
        <v>71217.943386265659</v>
      </c>
      <c r="J17" s="16">
        <f t="shared" si="8"/>
        <v>91217.943386265659</v>
      </c>
      <c r="K17" s="16">
        <f t="shared" si="9"/>
        <v>6474.3584896605144</v>
      </c>
      <c r="L17" s="16">
        <f t="shared" si="10"/>
        <v>8292.5403078423333</v>
      </c>
      <c r="M17" s="20" t="str" cm="1">
        <f t="array" ref="M17">IF(_xlfn.SINGLE(tomato_sched_q)&lt;2,"",IF(_xlfn.SINGLE(tomato_sched_mc)&lt;INDEX(tomato_sched_mc,_xlfn.SINGLE(tomato_sched_q)),"FALL",""))</f>
        <v/>
      </c>
    </row>
    <row r="18" spans="1:15" x14ac:dyDescent="0.2">
      <c r="A18" s="19">
        <f t="shared" si="0"/>
        <v>12</v>
      </c>
      <c r="B18" s="16" cm="1">
        <f t="array" ref="B18">IF(_xlfn.SINGLE(tomato_sched_q)=0,"",_xlfn.SINGLE(tomato_sched_vc)-INDEX(tomato_sched_vc,_xlfn.SINGLE(tomato_sched_q)))</f>
        <v>10687.588677253138</v>
      </c>
      <c r="C18" s="16">
        <f t="shared" si="1"/>
        <v>8800</v>
      </c>
      <c r="D18" s="10">
        <f t="shared" si="2"/>
        <v>3389.502646858683</v>
      </c>
      <c r="E18" s="10">
        <f t="shared" si="3"/>
        <v>720</v>
      </c>
      <c r="F18" s="10">
        <f t="shared" si="4"/>
        <v>2669.502646858683</v>
      </c>
      <c r="G18" s="16">
        <f t="shared" si="5"/>
        <v>71345.532063518796</v>
      </c>
      <c r="H18" s="16">
        <f t="shared" si="6"/>
        <v>10560</v>
      </c>
      <c r="I18" s="16">
        <f t="shared" si="7"/>
        <v>81905.532063518796</v>
      </c>
      <c r="J18" s="16">
        <f t="shared" si="8"/>
        <v>101905.5320635188</v>
      </c>
      <c r="K18" s="16">
        <f t="shared" si="9"/>
        <v>6825.461005293233</v>
      </c>
      <c r="L18" s="16">
        <f t="shared" si="10"/>
        <v>8492.1276719598991</v>
      </c>
      <c r="M18" s="20" t="str" cm="1">
        <f t="array" ref="M18">IF(_xlfn.SINGLE(tomato_sched_q)&lt;2,"",IF(_xlfn.SINGLE(tomato_sched_mc)&lt;INDEX(tomato_sched_mc,_xlfn.SINGLE(tomato_sched_q)),"FALL",""))</f>
        <v/>
      </c>
    </row>
    <row r="19" spans="1:15" x14ac:dyDescent="0.2">
      <c r="A19" s="19">
        <f t="shared" si="0"/>
        <v>13</v>
      </c>
      <c r="B19" s="16" cm="1">
        <f t="array" ref="B19">IF(_xlfn.SINGLE(tomato_sched_q)=0,"",_xlfn.SINGLE(tomato_sched_vc)-INDEX(tomato_sched_vc,_xlfn.SINGLE(tomato_sched_q)))</f>
        <v>12158.726978841107</v>
      </c>
      <c r="C19" s="16">
        <f t="shared" si="1"/>
        <v>8800</v>
      </c>
      <c r="D19" s="10">
        <f t="shared" si="2"/>
        <v>4039.1573208399304</v>
      </c>
      <c r="E19" s="10">
        <f t="shared" si="3"/>
        <v>720</v>
      </c>
      <c r="F19" s="10">
        <f t="shared" si="4"/>
        <v>3319.1573208399304</v>
      </c>
      <c r="G19" s="16">
        <f t="shared" si="5"/>
        <v>82624.259042359903</v>
      </c>
      <c r="H19" s="16">
        <f t="shared" si="6"/>
        <v>11440</v>
      </c>
      <c r="I19" s="16">
        <f t="shared" si="7"/>
        <v>94064.259042359903</v>
      </c>
      <c r="J19" s="16">
        <f t="shared" si="8"/>
        <v>114064.2590423599</v>
      </c>
      <c r="K19" s="16">
        <f t="shared" si="9"/>
        <v>7235.7122340276846</v>
      </c>
      <c r="L19" s="16">
        <f t="shared" si="10"/>
        <v>8774.1737724892228</v>
      </c>
      <c r="M19" s="20" t="str" cm="1">
        <f t="array" ref="M19">IF(_xlfn.SINGLE(tomato_sched_q)&lt;2,"",IF(_xlfn.SINGLE(tomato_sched_mc)&lt;INDEX(tomato_sched_mc,_xlfn.SINGLE(tomato_sched_q)),"FALL",""))</f>
        <v/>
      </c>
    </row>
    <row r="20" spans="1:15" x14ac:dyDescent="0.2">
      <c r="A20" s="19">
        <f t="shared" si="0"/>
        <v>14</v>
      </c>
      <c r="B20" s="16" cm="1">
        <f t="array" ref="B20">IF(_xlfn.SINGLE(tomato_sched_q)=0,"",_xlfn.SINGLE(tomato_sched_vc)-INDEX(tomato_sched_vc,_xlfn.SINGLE(tomato_sched_q)))</f>
        <v>13826.017053974152</v>
      </c>
      <c r="C20" s="16">
        <f t="shared" si="1"/>
        <v>8800</v>
      </c>
      <c r="D20" s="10">
        <f t="shared" si="2"/>
        <v>4784.8479031488414</v>
      </c>
      <c r="E20" s="10">
        <f t="shared" si="3"/>
        <v>720</v>
      </c>
      <c r="F20" s="10">
        <f t="shared" si="4"/>
        <v>4064.8479031488414</v>
      </c>
      <c r="G20" s="16">
        <f t="shared" si="5"/>
        <v>95570.276096334055</v>
      </c>
      <c r="H20" s="16">
        <f t="shared" si="6"/>
        <v>12320</v>
      </c>
      <c r="I20" s="16">
        <f t="shared" si="7"/>
        <v>107890.27609633406</v>
      </c>
      <c r="J20" s="16">
        <f t="shared" si="8"/>
        <v>127890.27609633406</v>
      </c>
      <c r="K20" s="16">
        <f t="shared" si="9"/>
        <v>7706.4482925952898</v>
      </c>
      <c r="L20" s="16">
        <f t="shared" si="10"/>
        <v>9135.0197211667182</v>
      </c>
      <c r="M20" s="20" t="str" cm="1">
        <f t="array" ref="M20">IF(_xlfn.SINGLE(tomato_sched_q)&lt;2,"",IF(_xlfn.SINGLE(tomato_sched_mc)&lt;INDEX(tomato_sched_mc,_xlfn.SINGLE(tomato_sched_q)),"FALL",""))</f>
        <v/>
      </c>
    </row>
    <row r="21" spans="1:15" x14ac:dyDescent="0.2">
      <c r="A21" s="19">
        <f t="shared" si="0"/>
        <v>15</v>
      </c>
      <c r="B21" s="16" cm="1">
        <f t="array" ref="B21">IF(_xlfn.SINGLE(tomato_sched_q)=0,"",_xlfn.SINGLE(tomato_sched_vc)-INDEX(tomato_sched_vc,_xlfn.SINGLE(tomato_sched_q)))</f>
        <v>15713.977874345364</v>
      </c>
      <c r="C21" s="16">
        <f t="shared" si="1"/>
        <v>8800</v>
      </c>
      <c r="D21" s="10">
        <f t="shared" si="2"/>
        <v>5639.2850287111351</v>
      </c>
      <c r="E21" s="10">
        <f t="shared" si="3"/>
        <v>720</v>
      </c>
      <c r="F21" s="10">
        <f t="shared" si="4"/>
        <v>4919.2850287111351</v>
      </c>
      <c r="G21" s="16">
        <f t="shared" si="5"/>
        <v>110404.25397067942</v>
      </c>
      <c r="H21" s="16">
        <f t="shared" si="6"/>
        <v>13200</v>
      </c>
      <c r="I21" s="16">
        <f t="shared" si="7"/>
        <v>123604.25397067942</v>
      </c>
      <c r="J21" s="16">
        <f t="shared" si="8"/>
        <v>143604.25397067942</v>
      </c>
      <c r="K21" s="16">
        <f t="shared" si="9"/>
        <v>8240.2835980452946</v>
      </c>
      <c r="L21" s="16">
        <f t="shared" si="10"/>
        <v>9573.6169313786286</v>
      </c>
      <c r="M21" s="20" t="str" cm="1">
        <f t="array" ref="M21">IF(_xlfn.SINGLE(tomato_sched_q)&lt;2,"",IF(_xlfn.SINGLE(tomato_sched_mc)&lt;INDEX(tomato_sched_mc,_xlfn.SINGLE(tomato_sched_q)),"FALL",""))</f>
        <v/>
      </c>
    </row>
    <row r="22" spans="1:15" x14ac:dyDescent="0.2">
      <c r="A22" s="19">
        <f t="shared" si="0"/>
        <v>16</v>
      </c>
      <c r="B22" s="16" cm="1">
        <f t="array" ref="B22">IF(_xlfn.SINGLE(tomato_sched_q)=0,"",_xlfn.SINGLE(tomato_sched_vc)-INDEX(tomato_sched_vc,_xlfn.SINGLE(tomato_sched_q)))</f>
        <v>17850.070688251115</v>
      </c>
      <c r="C22" s="16">
        <f t="shared" si="1"/>
        <v>8800</v>
      </c>
      <c r="D22" s="10">
        <f t="shared" si="2"/>
        <v>6616.761100354398</v>
      </c>
      <c r="E22" s="10">
        <f t="shared" si="3"/>
        <v>720</v>
      </c>
      <c r="F22" s="10">
        <f t="shared" si="4"/>
        <v>5896.761100354398</v>
      </c>
      <c r="G22" s="16">
        <f t="shared" si="5"/>
        <v>127374.32465893052</v>
      </c>
      <c r="H22" s="16">
        <f t="shared" si="6"/>
        <v>14080</v>
      </c>
      <c r="I22" s="16">
        <f t="shared" si="7"/>
        <v>141454.32465893053</v>
      </c>
      <c r="J22" s="16">
        <f t="shared" si="8"/>
        <v>161454.32465893053</v>
      </c>
      <c r="K22" s="16">
        <f t="shared" si="9"/>
        <v>8840.8952911831584</v>
      </c>
      <c r="L22" s="16">
        <f t="shared" si="10"/>
        <v>10090.895291183158</v>
      </c>
      <c r="M22" s="20" t="str" cm="1">
        <f t="array" ref="M22">IF(_xlfn.SINGLE(tomato_sched_q)&lt;2,"",IF(_xlfn.SINGLE(tomato_sched_mc)&lt;INDEX(tomato_sched_mc,_xlfn.SINGLE(tomato_sched_q)),"FALL",""))</f>
        <v/>
      </c>
    </row>
    <row r="23" spans="1:15" x14ac:dyDescent="0.2">
      <c r="A23" s="19">
        <f t="shared" si="0"/>
        <v>17</v>
      </c>
      <c r="B23" s="16" cm="1">
        <f t="array" ref="B23">IF(_xlfn.SINGLE(tomato_sched_q)=0,"",_xlfn.SINGLE(tomato_sched_vc)-INDEX(tomato_sched_vc,_xlfn.SINGLE(tomato_sched_q)))</f>
        <v>20265.042286194512</v>
      </c>
      <c r="C23" s="16">
        <f t="shared" si="1"/>
        <v>8800</v>
      </c>
      <c r="D23" s="10">
        <f t="shared" si="2"/>
        <v>7733.3395360392033</v>
      </c>
      <c r="E23" s="10">
        <f t="shared" si="3"/>
        <v>720</v>
      </c>
      <c r="F23" s="10">
        <f t="shared" si="4"/>
        <v>7013.3395360392033</v>
      </c>
      <c r="G23" s="16">
        <f t="shared" si="5"/>
        <v>146759.36694512505</v>
      </c>
      <c r="H23" s="16">
        <f t="shared" si="6"/>
        <v>14960</v>
      </c>
      <c r="I23" s="16">
        <f t="shared" si="7"/>
        <v>161719.36694512505</v>
      </c>
      <c r="J23" s="16">
        <f t="shared" si="8"/>
        <v>181719.36694512505</v>
      </c>
      <c r="K23" s="16">
        <f t="shared" si="9"/>
        <v>9512.903937948533</v>
      </c>
      <c r="L23" s="16">
        <f t="shared" si="10"/>
        <v>10689.374526183827</v>
      </c>
      <c r="M23" s="20" t="str" cm="1">
        <f t="array" ref="M23">IF(_xlfn.SINGLE(tomato_sched_q)&lt;2,"",IF(_xlfn.SINGLE(tomato_sched_mc)&lt;INDEX(tomato_sched_mc,_xlfn.SINGLE(tomato_sched_q)),"FALL",""))</f>
        <v/>
      </c>
    </row>
    <row r="24" spans="1:15" x14ac:dyDescent="0.2">
      <c r="A24" s="19">
        <f t="shared" si="0"/>
        <v>18</v>
      </c>
      <c r="B24" s="16" cm="1">
        <f t="array" ref="B24">IF(_xlfn.SINGLE(tomato_sched_q)=0,"",_xlfn.SINGLE(tomato_sched_vc)-INDEX(tomato_sched_vc,_xlfn.SINGLE(tomato_sched_q)))</f>
        <v>22993.307496844121</v>
      </c>
      <c r="C24" s="16">
        <f t="shared" si="1"/>
        <v>8800</v>
      </c>
      <c r="D24" s="10">
        <f t="shared" si="2"/>
        <v>9007.0660478574246</v>
      </c>
      <c r="E24" s="10">
        <f t="shared" si="3"/>
        <v>720</v>
      </c>
      <c r="F24" s="10">
        <f t="shared" si="4"/>
        <v>8287.0660478574246</v>
      </c>
      <c r="G24" s="16">
        <f t="shared" si="5"/>
        <v>168872.67444196917</v>
      </c>
      <c r="H24" s="16">
        <f t="shared" si="6"/>
        <v>15840</v>
      </c>
      <c r="I24" s="16">
        <f t="shared" si="7"/>
        <v>184712.67444196917</v>
      </c>
      <c r="J24" s="16">
        <f t="shared" si="8"/>
        <v>204712.67444196917</v>
      </c>
      <c r="K24" s="16">
        <f t="shared" si="9"/>
        <v>10261.815246776065</v>
      </c>
      <c r="L24" s="16">
        <f t="shared" si="10"/>
        <v>11372.926357887176</v>
      </c>
      <c r="M24" s="20" t="str" cm="1">
        <f t="array" ref="M24">IF(_xlfn.SINGLE(tomato_sched_q)&lt;2,"",IF(_xlfn.SINGLE(tomato_sched_mc)&lt;INDEX(tomato_sched_mc,_xlfn.SINGLE(tomato_sched_q)),"FALL",""))</f>
        <v/>
      </c>
    </row>
    <row r="25" spans="1:15" x14ac:dyDescent="0.2">
      <c r="A25" s="19">
        <f t="shared" si="0"/>
        <v>19</v>
      </c>
      <c r="B25" s="16" cm="1">
        <f t="array" ref="B25">IF(_xlfn.SINGLE(tomato_sched_q)=0,"",_xlfn.SINGLE(tomato_sched_vc)-INDEX(tomato_sched_vc,_xlfn.SINGLE(tomato_sched_q)))</f>
        <v>26073.375326761772</v>
      </c>
      <c r="C25" s="16">
        <f t="shared" si="1"/>
        <v>8800</v>
      </c>
      <c r="D25" s="10">
        <f t="shared" si="2"/>
        <v>10458.204466678902</v>
      </c>
      <c r="E25" s="10">
        <f t="shared" si="3"/>
        <v>720</v>
      </c>
      <c r="F25" s="10">
        <f t="shared" si="4"/>
        <v>9738.2044666789025</v>
      </c>
      <c r="G25" s="16">
        <f t="shared" si="5"/>
        <v>194066.04976873094</v>
      </c>
      <c r="H25" s="16">
        <f t="shared" si="6"/>
        <v>16720</v>
      </c>
      <c r="I25" s="16">
        <f t="shared" si="7"/>
        <v>210786.04976873094</v>
      </c>
      <c r="J25" s="16">
        <f t="shared" si="8"/>
        <v>230786.04976873094</v>
      </c>
      <c r="K25" s="16">
        <f t="shared" si="9"/>
        <v>11094.002619406892</v>
      </c>
      <c r="L25" s="16">
        <f t="shared" si="10"/>
        <v>12146.634198354261</v>
      </c>
      <c r="M25" s="20" t="str" cm="1">
        <f t="array" ref="M25">IF(_xlfn.SINGLE(tomato_sched_q)&lt;2,"",IF(_xlfn.SINGLE(tomato_sched_mc)&lt;INDEX(tomato_sched_mc,_xlfn.SINGLE(tomato_sched_q)),"FALL",""))</f>
        <v/>
      </c>
    </row>
    <row r="26" spans="1:15" x14ac:dyDescent="0.2">
      <c r="A26" s="19">
        <f t="shared" si="0"/>
        <v>20</v>
      </c>
      <c r="B26" s="16" cm="1">
        <f t="array" ref="B26">IF(_xlfn.SINGLE(tomato_sched_q)=0,"",_xlfn.SINGLE(tomato_sched_vc)-INDEX(tomato_sched_vc,_xlfn.SINGLE(tomato_sched_q)))</f>
        <v>29548.323647694342</v>
      </c>
      <c r="C26" s="16">
        <f t="shared" si="1"/>
        <v>8800</v>
      </c>
      <c r="D26" s="10">
        <f t="shared" si="2"/>
        <v>12109.499908786096</v>
      </c>
      <c r="E26" s="10">
        <f t="shared" si="3"/>
        <v>720</v>
      </c>
      <c r="F26" s="10">
        <f t="shared" si="4"/>
        <v>11389.499908786096</v>
      </c>
      <c r="G26" s="16">
        <f t="shared" si="5"/>
        <v>222734.37341642528</v>
      </c>
      <c r="H26" s="16">
        <f t="shared" si="6"/>
        <v>17600</v>
      </c>
      <c r="I26" s="16">
        <f t="shared" si="7"/>
        <v>240334.37341642528</v>
      </c>
      <c r="J26" s="16">
        <f t="shared" si="8"/>
        <v>260334.37341642528</v>
      </c>
      <c r="K26" s="16">
        <f t="shared" si="9"/>
        <v>12016.718670821265</v>
      </c>
      <c r="L26" s="16">
        <f t="shared" si="10"/>
        <v>13016.718670821265</v>
      </c>
      <c r="M26" s="20" t="str" cm="1">
        <f t="array" ref="M26">IF(_xlfn.SINGLE(tomato_sched_q)&lt;2,"",IF(_xlfn.SINGLE(tomato_sched_mc)&lt;INDEX(tomato_sched_mc,_xlfn.SINGLE(tomato_sched_q)),"FALL",""))</f>
        <v/>
      </c>
    </row>
    <row r="28" spans="1:15" x14ac:dyDescent="0.2">
      <c r="A28" s="4" t="s">
        <v>76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5" ht="34" x14ac:dyDescent="0.2">
      <c r="A29" s="18" t="s">
        <v>63</v>
      </c>
      <c r="B29" s="18" t="s">
        <v>64</v>
      </c>
      <c r="C29" s="18" t="s">
        <v>65</v>
      </c>
      <c r="D29" s="18" t="s">
        <v>66</v>
      </c>
      <c r="E29" s="18" t="s">
        <v>67</v>
      </c>
      <c r="F29" s="18" t="s">
        <v>68</v>
      </c>
      <c r="G29" s="18" t="s">
        <v>69</v>
      </c>
      <c r="H29" s="18" t="s">
        <v>70</v>
      </c>
      <c r="I29" s="18" t="s">
        <v>71</v>
      </c>
      <c r="J29" s="18" t="s">
        <v>72</v>
      </c>
      <c r="K29" s="18" t="s">
        <v>73</v>
      </c>
      <c r="L29" s="18" t="s">
        <v>74</v>
      </c>
      <c r="M29" s="18" t="s">
        <v>75</v>
      </c>
    </row>
    <row r="30" spans="1:15" x14ac:dyDescent="0.2">
      <c r="A30" s="19">
        <f t="shared" ref="A30:A50" si="11">ROW()-ROW(carrot_sched_anchor)</f>
        <v>0</v>
      </c>
      <c r="B30" s="16" t="str" cm="1">
        <f t="array" ref="B30">IF(_xlfn.SINGLE(carrot_sched_q)=0,"",_xlfn.SINGLE(carrot_sched_vc)-INDEX(carrot_sched_vc,_xlfn.SINGLE(carrot_sched_q)))</f>
        <v/>
      </c>
      <c r="C30" s="16" t="str">
        <f t="shared" ref="C30:C50" si="12">IF(carrot_sched_q=0,"",carrot_crop_price)</f>
        <v/>
      </c>
      <c r="D30" s="10">
        <f t="shared" ref="D30:D50" si="13">carrot_sched_q*carrot_crop_hrswk*season_weeks*(1+carrot_crop_dim)^carrot_sched_q</f>
        <v>0</v>
      </c>
      <c r="E30" s="10">
        <f t="shared" ref="E30:E50" si="14">MIN(_xlfn.SINGLE(carrot_sched_hrs),farmer_hrs_field)</f>
        <v>0</v>
      </c>
      <c r="F30" s="10">
        <f t="shared" ref="F30:F50" si="15">carrot_sched_hrs-carrot_sched_perm</f>
        <v>0</v>
      </c>
      <c r="G30" s="16">
        <f t="shared" ref="G30:G50" si="16">carrot_sched_perm*farmer_wage+carrot_sched_temp*temp_wage</f>
        <v>0</v>
      </c>
      <c r="H30" s="16">
        <f t="shared" ref="H30:H50" si="17">carrot_sched_q*carrot_crop_fert</f>
        <v>0</v>
      </c>
      <c r="I30" s="16">
        <f t="shared" ref="I30:I50" si="18">carrot_sched_labor+carrot_sched_fert</f>
        <v>0</v>
      </c>
      <c r="J30" s="16">
        <f t="shared" ref="J30:J50" si="19">carrot_sched_vc+fixed_costs</f>
        <v>20000</v>
      </c>
      <c r="K30" s="16" t="str">
        <f t="shared" ref="K30:K50" si="20">IF(carrot_sched_q=0,"",carrot_sched_vc/carrot_sched_q)</f>
        <v/>
      </c>
      <c r="L30" s="16" t="str">
        <f t="shared" ref="L30:L50" si="21">IF(carrot_sched_q=0,"",carrot_sched_tc/carrot_sched_q)</f>
        <v/>
      </c>
      <c r="M30" s="20" t="str" cm="1">
        <f t="array" ref="M30">IF(_xlfn.SINGLE(carrot_sched_q)&lt;2,"",IF(_xlfn.SINGLE(carrot_sched_mc)&lt;INDEX(carrot_sched_mc,_xlfn.SINGLE(carrot_sched_q)),"FALL",""))</f>
        <v/>
      </c>
      <c r="O30" s="17" t="s">
        <v>78</v>
      </c>
    </row>
    <row r="31" spans="1:15" x14ac:dyDescent="0.2">
      <c r="A31" s="19">
        <f t="shared" si="11"/>
        <v>1</v>
      </c>
      <c r="B31" s="16" cm="1">
        <f t="array" ref="B31">IF(_xlfn.SINGLE(carrot_sched_q)=0,"",_xlfn.SINGLE(carrot_sched_vc)-INDEX(carrot_sched_vc,_xlfn.SINGLE(carrot_sched_q)))</f>
        <v>1507.7083333333333</v>
      </c>
      <c r="C31" s="16">
        <f t="shared" si="12"/>
        <v>2094</v>
      </c>
      <c r="D31" s="10">
        <f t="shared" si="13"/>
        <v>30.749999999999996</v>
      </c>
      <c r="E31" s="10">
        <f t="shared" si="14"/>
        <v>30.749999999999996</v>
      </c>
      <c r="F31" s="10">
        <f t="shared" si="15"/>
        <v>0</v>
      </c>
      <c r="G31" s="16">
        <f t="shared" si="16"/>
        <v>1067.7083333333333</v>
      </c>
      <c r="H31" s="16">
        <f t="shared" si="17"/>
        <v>440</v>
      </c>
      <c r="I31" s="16">
        <f t="shared" si="18"/>
        <v>1507.7083333333333</v>
      </c>
      <c r="J31" s="16">
        <f t="shared" si="19"/>
        <v>21507.708333333332</v>
      </c>
      <c r="K31" s="16">
        <f t="shared" si="20"/>
        <v>1507.7083333333333</v>
      </c>
      <c r="L31" s="16">
        <f t="shared" si="21"/>
        <v>21507.708333333332</v>
      </c>
      <c r="M31" s="20" t="str" cm="1">
        <f t="array" ref="M31">IF(_xlfn.SINGLE(carrot_sched_q)&lt;2,"",IF(_xlfn.SINGLE(carrot_sched_mc)&lt;INDEX(carrot_sched_mc,_xlfn.SINGLE(carrot_sched_q)),"FALL",""))</f>
        <v/>
      </c>
    </row>
    <row r="32" spans="1:15" x14ac:dyDescent="0.2">
      <c r="A32" s="19">
        <f t="shared" si="11"/>
        <v>2</v>
      </c>
      <c r="B32" s="16" cm="1">
        <f t="array" ref="B32">IF(_xlfn.SINGLE(carrot_sched_q)=0,"",_xlfn.SINGLE(carrot_sched_vc)-INDEX(carrot_sched_vc,_xlfn.SINGLE(carrot_sched_q)))</f>
        <v>1561.0937499999998</v>
      </c>
      <c r="C32" s="16">
        <f t="shared" si="12"/>
        <v>2094</v>
      </c>
      <c r="D32" s="10">
        <f t="shared" si="13"/>
        <v>63.037499999999994</v>
      </c>
      <c r="E32" s="10">
        <f t="shared" si="14"/>
        <v>63.037499999999994</v>
      </c>
      <c r="F32" s="10">
        <f t="shared" si="15"/>
        <v>0</v>
      </c>
      <c r="G32" s="16">
        <f t="shared" si="16"/>
        <v>2188.802083333333</v>
      </c>
      <c r="H32" s="16">
        <f t="shared" si="17"/>
        <v>880</v>
      </c>
      <c r="I32" s="16">
        <f t="shared" si="18"/>
        <v>3068.802083333333</v>
      </c>
      <c r="J32" s="16">
        <f t="shared" si="19"/>
        <v>23068.802083333332</v>
      </c>
      <c r="K32" s="16">
        <f t="shared" si="20"/>
        <v>1534.4010416666665</v>
      </c>
      <c r="L32" s="16">
        <f t="shared" si="21"/>
        <v>11534.401041666666</v>
      </c>
      <c r="M32" s="20" t="str" cm="1">
        <f t="array" ref="M32">IF(_xlfn.SINGLE(carrot_sched_q)&lt;2,"",IF(_xlfn.SINGLE(carrot_sched_mc)&lt;INDEX(carrot_sched_mc,_xlfn.SINGLE(carrot_sched_q)),"FALL",""))</f>
        <v/>
      </c>
    </row>
    <row r="33" spans="1:13" x14ac:dyDescent="0.2">
      <c r="A33" s="19">
        <f t="shared" si="11"/>
        <v>3</v>
      </c>
      <c r="B33" s="16" cm="1">
        <f t="array" ref="B33">IF(_xlfn.SINGLE(carrot_sched_q)=0,"",_xlfn.SINGLE(carrot_sched_vc)-INDEX(carrot_sched_vc,_xlfn.SINGLE(carrot_sched_q)))</f>
        <v>1616.481119791667</v>
      </c>
      <c r="C33" s="16">
        <f t="shared" si="12"/>
        <v>2094</v>
      </c>
      <c r="D33" s="10">
        <f t="shared" si="13"/>
        <v>96.920156249999991</v>
      </c>
      <c r="E33" s="10">
        <f t="shared" si="14"/>
        <v>96.920156249999991</v>
      </c>
      <c r="F33" s="10">
        <f t="shared" si="15"/>
        <v>0</v>
      </c>
      <c r="G33" s="16">
        <f t="shared" si="16"/>
        <v>3365.2832031249995</v>
      </c>
      <c r="H33" s="16">
        <f t="shared" si="17"/>
        <v>1320</v>
      </c>
      <c r="I33" s="16">
        <f t="shared" si="18"/>
        <v>4685.283203125</v>
      </c>
      <c r="J33" s="16">
        <f t="shared" si="19"/>
        <v>24685.283203125</v>
      </c>
      <c r="K33" s="16">
        <f t="shared" si="20"/>
        <v>1561.7610677083333</v>
      </c>
      <c r="L33" s="16">
        <f t="shared" si="21"/>
        <v>8228.427734375</v>
      </c>
      <c r="M33" s="20" t="str" cm="1">
        <f t="array" ref="M33">IF(_xlfn.SINGLE(carrot_sched_q)&lt;2,"",IF(_xlfn.SINGLE(carrot_sched_mc)&lt;INDEX(carrot_sched_mc,_xlfn.SINGLE(carrot_sched_q)),"FALL",""))</f>
        <v/>
      </c>
    </row>
    <row r="34" spans="1:13" x14ac:dyDescent="0.2">
      <c r="A34" s="19">
        <f t="shared" si="11"/>
        <v>4</v>
      </c>
      <c r="B34" s="16" cm="1">
        <f t="array" ref="B34">IF(_xlfn.SINGLE(carrot_sched_q)=0,"",_xlfn.SINGLE(carrot_sched_vc)-INDEX(carrot_sched_vc,_xlfn.SINGLE(carrot_sched_q)))</f>
        <v>1673.9371744791652</v>
      </c>
      <c r="C34" s="16">
        <f t="shared" si="12"/>
        <v>2094</v>
      </c>
      <c r="D34" s="10">
        <f t="shared" si="13"/>
        <v>132.45754687499996</v>
      </c>
      <c r="E34" s="10">
        <f t="shared" si="14"/>
        <v>132.45754687499996</v>
      </c>
      <c r="F34" s="10">
        <f t="shared" si="15"/>
        <v>0</v>
      </c>
      <c r="G34" s="16">
        <f t="shared" si="16"/>
        <v>4599.2203776041652</v>
      </c>
      <c r="H34" s="16">
        <f t="shared" si="17"/>
        <v>1760</v>
      </c>
      <c r="I34" s="16">
        <f t="shared" si="18"/>
        <v>6359.2203776041652</v>
      </c>
      <c r="J34" s="16">
        <f t="shared" si="19"/>
        <v>26359.220377604164</v>
      </c>
      <c r="K34" s="16">
        <f t="shared" si="20"/>
        <v>1589.8050944010413</v>
      </c>
      <c r="L34" s="16">
        <f t="shared" si="21"/>
        <v>6589.8050944010411</v>
      </c>
      <c r="M34" s="20" t="str" cm="1">
        <f t="array" ref="M34">IF(_xlfn.SINGLE(carrot_sched_q)&lt;2,"",IF(_xlfn.SINGLE(carrot_sched_mc)&lt;INDEX(carrot_sched_mc,_xlfn.SINGLE(carrot_sched_q)),"FALL",""))</f>
        <v/>
      </c>
    </row>
    <row r="35" spans="1:13" x14ac:dyDescent="0.2">
      <c r="A35" s="19">
        <f t="shared" si="11"/>
        <v>5</v>
      </c>
      <c r="B35" s="16" cm="1">
        <f t="array" ref="B35">IF(_xlfn.SINGLE(carrot_sched_q)=0,"",_xlfn.SINGLE(carrot_sched_vc)-INDEX(carrot_sched_vc,_xlfn.SINGLE(carrot_sched_q)))</f>
        <v>1733.530731201171</v>
      </c>
      <c r="C35" s="16">
        <f t="shared" si="12"/>
        <v>2094</v>
      </c>
      <c r="D35" s="10">
        <f t="shared" si="13"/>
        <v>169.71123193359369</v>
      </c>
      <c r="E35" s="10">
        <f t="shared" si="14"/>
        <v>169.71123193359369</v>
      </c>
      <c r="F35" s="10">
        <f t="shared" si="15"/>
        <v>0</v>
      </c>
      <c r="G35" s="16">
        <f t="shared" si="16"/>
        <v>5892.7511088053361</v>
      </c>
      <c r="H35" s="16">
        <f t="shared" si="17"/>
        <v>2200</v>
      </c>
      <c r="I35" s="16">
        <f t="shared" si="18"/>
        <v>8092.7511088053361</v>
      </c>
      <c r="J35" s="16">
        <f t="shared" si="19"/>
        <v>28092.751108805336</v>
      </c>
      <c r="K35" s="16">
        <f t="shared" si="20"/>
        <v>1618.5502217610672</v>
      </c>
      <c r="L35" s="16">
        <f t="shared" si="21"/>
        <v>5618.5502217610674</v>
      </c>
      <c r="M35" s="20" t="str" cm="1">
        <f t="array" ref="M35">IF(_xlfn.SINGLE(carrot_sched_q)&lt;2,"",IF(_xlfn.SINGLE(carrot_sched_mc)&lt;INDEX(carrot_sched_mc,_xlfn.SINGLE(carrot_sched_q)),"FALL",""))</f>
        <v/>
      </c>
    </row>
    <row r="36" spans="1:13" x14ac:dyDescent="0.2">
      <c r="A36" s="19">
        <f t="shared" si="11"/>
        <v>6</v>
      </c>
      <c r="B36" s="16" cm="1">
        <f t="array" ref="B36">IF(_xlfn.SINGLE(carrot_sched_q)=0,"",_xlfn.SINGLE(carrot_sched_vc)-INDEX(carrot_sched_vc,_xlfn.SINGLE(carrot_sched_q)))</f>
        <v>1795.332755025227</v>
      </c>
      <c r="C36" s="16">
        <f t="shared" si="12"/>
        <v>2094</v>
      </c>
      <c r="D36" s="10">
        <f t="shared" si="13"/>
        <v>208.74481527832023</v>
      </c>
      <c r="E36" s="10">
        <f t="shared" si="14"/>
        <v>208.74481527832023</v>
      </c>
      <c r="F36" s="10">
        <f t="shared" si="15"/>
        <v>0</v>
      </c>
      <c r="G36" s="16">
        <f t="shared" si="16"/>
        <v>7248.0838638305631</v>
      </c>
      <c r="H36" s="16">
        <f t="shared" si="17"/>
        <v>2640</v>
      </c>
      <c r="I36" s="16">
        <f t="shared" si="18"/>
        <v>9888.0838638305631</v>
      </c>
      <c r="J36" s="16">
        <f t="shared" si="19"/>
        <v>29888.083863830565</v>
      </c>
      <c r="K36" s="16">
        <f t="shared" si="20"/>
        <v>1648.0139773050939</v>
      </c>
      <c r="L36" s="16">
        <f t="shared" si="21"/>
        <v>4981.3473106384272</v>
      </c>
      <c r="M36" s="20" t="str" cm="1">
        <f t="array" ref="M36">IF(_xlfn.SINGLE(carrot_sched_q)&lt;2,"",IF(_xlfn.SINGLE(carrot_sched_mc)&lt;INDEX(carrot_sched_mc,_xlfn.SINGLE(carrot_sched_q)),"FALL",""))</f>
        <v/>
      </c>
    </row>
    <row r="37" spans="1:13" x14ac:dyDescent="0.2">
      <c r="A37" s="19">
        <f t="shared" si="11"/>
        <v>7</v>
      </c>
      <c r="B37" s="16" cm="1">
        <f t="array" ref="B37">IF(_xlfn.SINGLE(carrot_sched_q)=0,"",_xlfn.SINGLE(carrot_sched_vc)-INDEX(carrot_sched_vc,_xlfn.SINGLE(carrot_sched_q)))</f>
        <v>1859.4164233334868</v>
      </c>
      <c r="C37" s="16">
        <f t="shared" si="12"/>
        <v>2094</v>
      </c>
      <c r="D37" s="10">
        <f t="shared" si="13"/>
        <v>249.62400827032465</v>
      </c>
      <c r="E37" s="10">
        <f t="shared" si="14"/>
        <v>249.62400827032465</v>
      </c>
      <c r="F37" s="10">
        <f t="shared" si="15"/>
        <v>0</v>
      </c>
      <c r="G37" s="16">
        <f t="shared" si="16"/>
        <v>8667.50028716405</v>
      </c>
      <c r="H37" s="16">
        <f t="shared" si="17"/>
        <v>3080</v>
      </c>
      <c r="I37" s="16">
        <f t="shared" si="18"/>
        <v>11747.50028716405</v>
      </c>
      <c r="J37" s="16">
        <f t="shared" si="19"/>
        <v>31747.50028716405</v>
      </c>
      <c r="K37" s="16">
        <f t="shared" si="20"/>
        <v>1678.2143267377214</v>
      </c>
      <c r="L37" s="16">
        <f t="shared" si="21"/>
        <v>4535.3571838805783</v>
      </c>
      <c r="M37" s="20" t="str" cm="1">
        <f t="array" ref="M37">IF(_xlfn.SINGLE(carrot_sched_q)&lt;2,"",IF(_xlfn.SINGLE(carrot_sched_mc)&lt;INDEX(carrot_sched_mc,_xlfn.SINGLE(carrot_sched_q)),"FALL",""))</f>
        <v/>
      </c>
    </row>
    <row r="38" spans="1:13" x14ac:dyDescent="0.2">
      <c r="A38" s="19">
        <f t="shared" si="11"/>
        <v>8</v>
      </c>
      <c r="B38" s="16" cm="1">
        <f t="array" ref="B38">IF(_xlfn.SINGLE(carrot_sched_q)=0,"",_xlfn.SINGLE(carrot_sched_vc)-INDEX(carrot_sched_vc,_xlfn.SINGLE(carrot_sched_q)))</f>
        <v>1925.8571920852646</v>
      </c>
      <c r="C38" s="16">
        <f t="shared" si="12"/>
        <v>2094</v>
      </c>
      <c r="D38" s="10">
        <f t="shared" si="13"/>
        <v>292.41669540238024</v>
      </c>
      <c r="E38" s="10">
        <f t="shared" si="14"/>
        <v>292.41669540238024</v>
      </c>
      <c r="F38" s="10">
        <f t="shared" si="15"/>
        <v>0</v>
      </c>
      <c r="G38" s="16">
        <f t="shared" si="16"/>
        <v>10153.357479249315</v>
      </c>
      <c r="H38" s="16">
        <f t="shared" si="17"/>
        <v>3520</v>
      </c>
      <c r="I38" s="16">
        <f t="shared" si="18"/>
        <v>13673.357479249315</v>
      </c>
      <c r="J38" s="16">
        <f t="shared" si="19"/>
        <v>33673.357479249316</v>
      </c>
      <c r="K38" s="16">
        <f t="shared" si="20"/>
        <v>1709.1696849061643</v>
      </c>
      <c r="L38" s="16">
        <f t="shared" si="21"/>
        <v>4209.1696849061645</v>
      </c>
      <c r="M38" s="20" t="str" cm="1">
        <f t="array" ref="M38">IF(_xlfn.SINGLE(carrot_sched_q)&lt;2,"",IF(_xlfn.SINGLE(carrot_sched_mc)&lt;INDEX(carrot_sched_mc,_xlfn.SINGLE(carrot_sched_q)),"FALL",""))</f>
        <v/>
      </c>
    </row>
    <row r="39" spans="1:13" x14ac:dyDescent="0.2">
      <c r="A39" s="19">
        <f t="shared" si="11"/>
        <v>9</v>
      </c>
      <c r="B39" s="16" cm="1">
        <f t="array" ref="B39">IF(_xlfn.SINGLE(carrot_sched_q)=0,"",_xlfn.SINGLE(carrot_sched_vc)-INDEX(carrot_sched_vc,_xlfn.SINGLE(carrot_sched_q)))</f>
        <v>1994.7328640100477</v>
      </c>
      <c r="C39" s="16">
        <f t="shared" si="12"/>
        <v>2094</v>
      </c>
      <c r="D39" s="10">
        <f t="shared" si="13"/>
        <v>337.19300188586965</v>
      </c>
      <c r="E39" s="10">
        <f t="shared" si="14"/>
        <v>337.19300188586965</v>
      </c>
      <c r="F39" s="10">
        <f t="shared" si="15"/>
        <v>0</v>
      </c>
      <c r="G39" s="16">
        <f t="shared" si="16"/>
        <v>11708.090343259362</v>
      </c>
      <c r="H39" s="16">
        <f t="shared" si="17"/>
        <v>3960</v>
      </c>
      <c r="I39" s="16">
        <f t="shared" si="18"/>
        <v>15668.090343259362</v>
      </c>
      <c r="J39" s="16">
        <f t="shared" si="19"/>
        <v>35668.090343259362</v>
      </c>
      <c r="K39" s="16">
        <f t="shared" si="20"/>
        <v>1740.898927028818</v>
      </c>
      <c r="L39" s="16">
        <f t="shared" si="21"/>
        <v>3963.1211492510402</v>
      </c>
      <c r="M39" s="20" t="str" cm="1">
        <f t="array" ref="M39">IF(_xlfn.SINGLE(carrot_sched_q)&lt;2,"",IF(_xlfn.SINGLE(carrot_sched_mc)&lt;INDEX(carrot_sched_mc,_xlfn.SINGLE(carrot_sched_q)),"FALL",""))</f>
        <v/>
      </c>
    </row>
    <row r="40" spans="1:13" x14ac:dyDescent="0.2">
      <c r="A40" s="19">
        <f t="shared" si="11"/>
        <v>10</v>
      </c>
      <c r="B40" s="16" cm="1">
        <f t="array" ref="B40">IF(_xlfn.SINGLE(carrot_sched_q)=0,"",_xlfn.SINGLE(carrot_sched_vc)-INDEX(carrot_sched_vc,_xlfn.SINGLE(carrot_sched_q)))</f>
        <v>2066.1236587860258</v>
      </c>
      <c r="C40" s="16">
        <f t="shared" si="12"/>
        <v>2094</v>
      </c>
      <c r="D40" s="10">
        <f t="shared" si="13"/>
        <v>384.02536325890713</v>
      </c>
      <c r="E40" s="10">
        <f t="shared" si="14"/>
        <v>384.02536325890713</v>
      </c>
      <c r="F40" s="10">
        <f t="shared" si="15"/>
        <v>0</v>
      </c>
      <c r="G40" s="16">
        <f t="shared" si="16"/>
        <v>13334.214002045386</v>
      </c>
      <c r="H40" s="16">
        <f t="shared" si="17"/>
        <v>4400</v>
      </c>
      <c r="I40" s="16">
        <f t="shared" si="18"/>
        <v>17734.214002045388</v>
      </c>
      <c r="J40" s="16">
        <f t="shared" si="19"/>
        <v>37734.214002045388</v>
      </c>
      <c r="K40" s="16">
        <f t="shared" si="20"/>
        <v>1773.4214002045387</v>
      </c>
      <c r="L40" s="16">
        <f t="shared" si="21"/>
        <v>3773.4214002045387</v>
      </c>
      <c r="M40" s="20" t="str" cm="1">
        <f t="array" ref="M40">IF(_xlfn.SINGLE(carrot_sched_q)&lt;2,"",IF(_xlfn.SINGLE(carrot_sched_mc)&lt;INDEX(carrot_sched_mc,_xlfn.SINGLE(carrot_sched_q)),"FALL",""))</f>
        <v/>
      </c>
    </row>
    <row r="41" spans="1:13" x14ac:dyDescent="0.2">
      <c r="A41" s="19">
        <f t="shared" si="11"/>
        <v>11</v>
      </c>
      <c r="B41" s="16" cm="1">
        <f t="array" ref="B41">IF(_xlfn.SINGLE(carrot_sched_q)=0,"",_xlfn.SINGLE(carrot_sched_vc)-INDEX(carrot_sched_vc,_xlfn.SINGLE(carrot_sched_q)))</f>
        <v>2140.1122852607878</v>
      </c>
      <c r="C41" s="16">
        <f t="shared" si="12"/>
        <v>2094</v>
      </c>
      <c r="D41" s="10">
        <f t="shared" si="13"/>
        <v>432.98859707441784</v>
      </c>
      <c r="E41" s="10">
        <f t="shared" si="14"/>
        <v>432.98859707441784</v>
      </c>
      <c r="F41" s="10">
        <f t="shared" si="15"/>
        <v>0</v>
      </c>
      <c r="G41" s="16">
        <f t="shared" si="16"/>
        <v>15034.326287306174</v>
      </c>
      <c r="H41" s="16">
        <f t="shared" si="17"/>
        <v>4840</v>
      </c>
      <c r="I41" s="16">
        <f t="shared" si="18"/>
        <v>19874.326287306176</v>
      </c>
      <c r="J41" s="16">
        <f t="shared" si="19"/>
        <v>39874.326287306176</v>
      </c>
      <c r="K41" s="16">
        <f t="shared" si="20"/>
        <v>1806.7569352096523</v>
      </c>
      <c r="L41" s="16">
        <f t="shared" si="21"/>
        <v>3624.9387533914705</v>
      </c>
      <c r="M41" s="20" t="str" cm="1">
        <f t="array" ref="M41">IF(_xlfn.SINGLE(carrot_sched_q)&lt;2,"",IF(_xlfn.SINGLE(carrot_sched_mc)&lt;INDEX(carrot_sched_mc,_xlfn.SINGLE(carrot_sched_q)),"FALL",""))</f>
        <v/>
      </c>
    </row>
    <row r="42" spans="1:13" x14ac:dyDescent="0.2">
      <c r="A42" s="19">
        <f t="shared" si="11"/>
        <v>12</v>
      </c>
      <c r="B42" s="16" cm="1">
        <f t="array" ref="B42">IF(_xlfn.SINGLE(carrot_sched_q)=0,"",_xlfn.SINGLE(carrot_sched_vc)-INDEX(carrot_sched_vc,_xlfn.SINGLE(carrot_sched_q)))</f>
        <v>2216.7840157725441</v>
      </c>
      <c r="C42" s="16">
        <f t="shared" si="12"/>
        <v>2094</v>
      </c>
      <c r="D42" s="10">
        <f t="shared" si="13"/>
        <v>484.15997672866712</v>
      </c>
      <c r="E42" s="10">
        <f t="shared" si="14"/>
        <v>484.15997672866712</v>
      </c>
      <c r="F42" s="10">
        <f t="shared" si="15"/>
        <v>0</v>
      </c>
      <c r="G42" s="16">
        <f t="shared" si="16"/>
        <v>16811.11030307872</v>
      </c>
      <c r="H42" s="16">
        <f t="shared" si="17"/>
        <v>5280</v>
      </c>
      <c r="I42" s="16">
        <f t="shared" si="18"/>
        <v>22091.11030307872</v>
      </c>
      <c r="J42" s="16">
        <f t="shared" si="19"/>
        <v>42091.11030307872</v>
      </c>
      <c r="K42" s="16">
        <f t="shared" si="20"/>
        <v>1840.9258585898933</v>
      </c>
      <c r="L42" s="16">
        <f t="shared" si="21"/>
        <v>3507.5925252565598</v>
      </c>
      <c r="M42" s="20" t="str" cm="1">
        <f t="array" ref="M42">IF(_xlfn.SINGLE(carrot_sched_q)&lt;2,"",IF(_xlfn.SINGLE(carrot_sched_mc)&lt;INDEX(carrot_sched_mc,_xlfn.SINGLE(carrot_sched_q)),"FALL",""))</f>
        <v/>
      </c>
    </row>
    <row r="43" spans="1:13" x14ac:dyDescent="0.2">
      <c r="A43" s="19">
        <f t="shared" si="11"/>
        <v>13</v>
      </c>
      <c r="B43" s="16" cm="1">
        <f t="array" ref="B43">IF(_xlfn.SINGLE(carrot_sched_q)=0,"",_xlfn.SINGLE(carrot_sched_vc)-INDEX(carrot_sched_vc,_xlfn.SINGLE(carrot_sched_q)))</f>
        <v>2296.2267626316061</v>
      </c>
      <c r="C43" s="16">
        <f t="shared" si="12"/>
        <v>2094</v>
      </c>
      <c r="D43" s="10">
        <f t="shared" si="13"/>
        <v>537.61930749245744</v>
      </c>
      <c r="E43" s="10">
        <f t="shared" si="14"/>
        <v>537.61930749245744</v>
      </c>
      <c r="F43" s="10">
        <f t="shared" si="15"/>
        <v>0</v>
      </c>
      <c r="G43" s="16">
        <f t="shared" si="16"/>
        <v>18667.337065710326</v>
      </c>
      <c r="H43" s="16">
        <f t="shared" si="17"/>
        <v>5720</v>
      </c>
      <c r="I43" s="16">
        <f t="shared" si="18"/>
        <v>24387.337065710326</v>
      </c>
      <c r="J43" s="16">
        <f t="shared" si="19"/>
        <v>44387.337065710322</v>
      </c>
      <c r="K43" s="16">
        <f t="shared" si="20"/>
        <v>1875.9490050546406</v>
      </c>
      <c r="L43" s="16">
        <f t="shared" si="21"/>
        <v>3414.4105435161787</v>
      </c>
      <c r="M43" s="20" t="str" cm="1">
        <f t="array" ref="M43">IF(_xlfn.SINGLE(carrot_sched_q)&lt;2,"",IF(_xlfn.SINGLE(carrot_sched_mc)&lt;INDEX(carrot_sched_mc,_xlfn.SINGLE(carrot_sched_q)),"FALL",""))</f>
        <v/>
      </c>
    </row>
    <row r="44" spans="1:13" x14ac:dyDescent="0.2">
      <c r="A44" s="19">
        <f t="shared" si="11"/>
        <v>14</v>
      </c>
      <c r="B44" s="16" cm="1">
        <f t="array" ref="B44">IF(_xlfn.SINGLE(carrot_sched_q)=0,"",_xlfn.SINGLE(carrot_sched_vc)-INDEX(carrot_sched_vc,_xlfn.SINGLE(carrot_sched_q)))</f>
        <v>2378.5311568237667</v>
      </c>
      <c r="C44" s="16">
        <f t="shared" si="12"/>
        <v>2094</v>
      </c>
      <c r="D44" s="10">
        <f t="shared" si="13"/>
        <v>593.44900480898184</v>
      </c>
      <c r="E44" s="10">
        <f t="shared" si="14"/>
        <v>593.44900480898184</v>
      </c>
      <c r="F44" s="10">
        <f t="shared" si="15"/>
        <v>0</v>
      </c>
      <c r="G44" s="16">
        <f t="shared" si="16"/>
        <v>20605.868222534093</v>
      </c>
      <c r="H44" s="16">
        <f t="shared" si="17"/>
        <v>6160</v>
      </c>
      <c r="I44" s="16">
        <f t="shared" si="18"/>
        <v>26765.868222534093</v>
      </c>
      <c r="J44" s="16">
        <f t="shared" si="19"/>
        <v>46765.868222534089</v>
      </c>
      <c r="K44" s="16">
        <f t="shared" si="20"/>
        <v>1911.8477301810067</v>
      </c>
      <c r="L44" s="16">
        <f t="shared" si="21"/>
        <v>3340.4191587524351</v>
      </c>
      <c r="M44" s="20" t="str" cm="1">
        <f t="array" ref="M44">IF(_xlfn.SINGLE(carrot_sched_q)&lt;2,"",IF(_xlfn.SINGLE(carrot_sched_mc)&lt;INDEX(carrot_sched_mc,_xlfn.SINGLE(carrot_sched_q)),"FALL",""))</f>
        <v/>
      </c>
    </row>
    <row r="45" spans="1:13" x14ac:dyDescent="0.2">
      <c r="A45" s="19">
        <f t="shared" si="11"/>
        <v>15</v>
      </c>
      <c r="B45" s="16" cm="1">
        <f t="array" ref="B45">IF(_xlfn.SINGLE(carrot_sched_q)=0,"",_xlfn.SINGLE(carrot_sched_vc)-INDEX(carrot_sched_vc,_xlfn.SINGLE(carrot_sched_q)))</f>
        <v>2463.7906289988823</v>
      </c>
      <c r="C45" s="16">
        <f t="shared" si="12"/>
        <v>2094</v>
      </c>
      <c r="D45" s="10">
        <f t="shared" si="13"/>
        <v>651.73417492414967</v>
      </c>
      <c r="E45" s="10">
        <f t="shared" si="14"/>
        <v>651.73417492414967</v>
      </c>
      <c r="F45" s="10">
        <f t="shared" si="15"/>
        <v>0</v>
      </c>
      <c r="G45" s="16">
        <f t="shared" si="16"/>
        <v>22629.658851532975</v>
      </c>
      <c r="H45" s="16">
        <f t="shared" si="17"/>
        <v>6600</v>
      </c>
      <c r="I45" s="16">
        <f t="shared" si="18"/>
        <v>29229.658851532975</v>
      </c>
      <c r="J45" s="16">
        <f t="shared" si="19"/>
        <v>49229.658851532979</v>
      </c>
      <c r="K45" s="16">
        <f t="shared" si="20"/>
        <v>1948.6439234355316</v>
      </c>
      <c r="L45" s="16">
        <f t="shared" si="21"/>
        <v>3281.9772567688651</v>
      </c>
      <c r="M45" s="20" t="str" cm="1">
        <f t="array" ref="M45">IF(_xlfn.SINGLE(carrot_sched_q)&lt;2,"",IF(_xlfn.SINGLE(carrot_sched_mc)&lt;INDEX(carrot_sched_mc,_xlfn.SINGLE(carrot_sched_q)),"FALL",""))</f>
        <v/>
      </c>
    </row>
    <row r="46" spans="1:13" x14ac:dyDescent="0.2">
      <c r="A46" s="19">
        <f t="shared" si="11"/>
        <v>16</v>
      </c>
      <c r="B46" s="16" cm="1">
        <f t="array" ref="B46">IF(_xlfn.SINGLE(carrot_sched_q)=0,"",_xlfn.SINGLE(carrot_sched_vc)-INDEX(carrot_sched_vc,_xlfn.SINGLE(carrot_sched_q)))</f>
        <v>2552.1014928097429</v>
      </c>
      <c r="C46" s="16">
        <f t="shared" si="12"/>
        <v>2094</v>
      </c>
      <c r="D46" s="10">
        <f t="shared" si="13"/>
        <v>712.5626979170703</v>
      </c>
      <c r="E46" s="10">
        <f t="shared" si="14"/>
        <v>712.5626979170703</v>
      </c>
      <c r="F46" s="10">
        <f t="shared" si="15"/>
        <v>0</v>
      </c>
      <c r="G46" s="16">
        <f t="shared" si="16"/>
        <v>24741.760344342718</v>
      </c>
      <c r="H46" s="16">
        <f t="shared" si="17"/>
        <v>7040</v>
      </c>
      <c r="I46" s="16">
        <f t="shared" si="18"/>
        <v>31781.760344342718</v>
      </c>
      <c r="J46" s="16">
        <f t="shared" si="19"/>
        <v>51781.760344342722</v>
      </c>
      <c r="K46" s="16">
        <f t="shared" si="20"/>
        <v>1986.3600215214199</v>
      </c>
      <c r="L46" s="16">
        <f t="shared" si="21"/>
        <v>3236.3600215214201</v>
      </c>
      <c r="M46" s="20" t="str" cm="1">
        <f t="array" ref="M46">IF(_xlfn.SINGLE(carrot_sched_q)&lt;2,"",IF(_xlfn.SINGLE(carrot_sched_mc)&lt;INDEX(carrot_sched_mc,_xlfn.SINGLE(carrot_sched_q)),"FALL",""))</f>
        <v/>
      </c>
    </row>
    <row r="47" spans="1:13" x14ac:dyDescent="0.2">
      <c r="A47" s="19">
        <f t="shared" si="11"/>
        <v>17</v>
      </c>
      <c r="B47" s="16" cm="1">
        <f t="array" ref="B47">IF(_xlfn.SINGLE(carrot_sched_q)=0,"",_xlfn.SINGLE(carrot_sched_vc)-INDEX(carrot_sched_vc,_xlfn.SINGLE(carrot_sched_q)))</f>
        <v>1670.9013431626554</v>
      </c>
      <c r="C47" s="16">
        <f t="shared" si="12"/>
        <v>2094</v>
      </c>
      <c r="D47" s="10">
        <f t="shared" si="13"/>
        <v>776.02531320030937</v>
      </c>
      <c r="E47" s="10">
        <f t="shared" si="14"/>
        <v>720</v>
      </c>
      <c r="F47" s="10">
        <f t="shared" si="15"/>
        <v>56.02531320030937</v>
      </c>
      <c r="G47" s="16">
        <f t="shared" si="16"/>
        <v>25972.66168750537</v>
      </c>
      <c r="H47" s="16">
        <f t="shared" si="17"/>
        <v>7480</v>
      </c>
      <c r="I47" s="16">
        <f t="shared" si="18"/>
        <v>33452.661687505373</v>
      </c>
      <c r="J47" s="16">
        <f t="shared" si="19"/>
        <v>53452.661687505373</v>
      </c>
      <c r="K47" s="16">
        <f t="shared" si="20"/>
        <v>1967.8036286767867</v>
      </c>
      <c r="L47" s="16">
        <f t="shared" si="21"/>
        <v>3144.2742169120806</v>
      </c>
      <c r="M47" s="20" t="str" cm="1">
        <f t="array" ref="M47">IF(_xlfn.SINGLE(carrot_sched_q)&lt;2,"",IF(_xlfn.SINGLE(carrot_sched_mc)&lt;INDEX(carrot_sched_mc,_xlfn.SINGLE(carrot_sched_q)),"FALL",""))</f>
        <v>FALL</v>
      </c>
    </row>
    <row r="48" spans="1:13" x14ac:dyDescent="0.2">
      <c r="A48" s="19">
        <f t="shared" si="11"/>
        <v>18</v>
      </c>
      <c r="B48" s="16" cm="1">
        <f t="array" ref="B48">IF(_xlfn.SINGLE(carrot_sched_q)=0,"",_xlfn.SINGLE(carrot_sched_vc)-INDEX(carrot_sched_vc,_xlfn.SINGLE(carrot_sched_q)))</f>
        <v>1589.1387909931072</v>
      </c>
      <c r="C48" s="16">
        <f t="shared" si="12"/>
        <v>2094</v>
      </c>
      <c r="D48" s="10">
        <f t="shared" si="13"/>
        <v>842.2157075615122</v>
      </c>
      <c r="E48" s="10">
        <f t="shared" si="14"/>
        <v>720</v>
      </c>
      <c r="F48" s="10">
        <f t="shared" si="15"/>
        <v>122.2157075615122</v>
      </c>
      <c r="G48" s="16">
        <f t="shared" si="16"/>
        <v>27121.800478498477</v>
      </c>
      <c r="H48" s="16">
        <f t="shared" si="17"/>
        <v>7920</v>
      </c>
      <c r="I48" s="16">
        <f t="shared" si="18"/>
        <v>35041.800478498481</v>
      </c>
      <c r="J48" s="16">
        <f t="shared" si="19"/>
        <v>55041.800478498481</v>
      </c>
      <c r="K48" s="16">
        <f t="shared" si="20"/>
        <v>1946.7666932499155</v>
      </c>
      <c r="L48" s="16">
        <f t="shared" si="21"/>
        <v>3057.8778043610268</v>
      </c>
      <c r="M48" s="20" t="str" cm="1">
        <f t="array" ref="M48">IF(_xlfn.SINGLE(carrot_sched_q)&lt;2,"",IF(_xlfn.SINGLE(carrot_sched_mc)&lt;INDEX(carrot_sched_mc,_xlfn.SINGLE(carrot_sched_q)),"FALL",""))</f>
        <v>FALL</v>
      </c>
    </row>
    <row r="49" spans="1:15" x14ac:dyDescent="0.2">
      <c r="A49" s="19">
        <f t="shared" si="11"/>
        <v>19</v>
      </c>
      <c r="B49" s="16" cm="1">
        <f t="array" ref="B49">IF(_xlfn.SINGLE(carrot_sched_q)=0,"",_xlfn.SINGLE(carrot_sched_vc)-INDEX(carrot_sched_vc,_xlfn.SINGLE(carrot_sched_q)))</f>
        <v>1638.1753169880685</v>
      </c>
      <c r="C49" s="16">
        <f t="shared" si="12"/>
        <v>2094</v>
      </c>
      <c r="D49" s="10">
        <f t="shared" si="13"/>
        <v>911.23060582002495</v>
      </c>
      <c r="E49" s="10">
        <f t="shared" si="14"/>
        <v>720</v>
      </c>
      <c r="F49" s="10">
        <f t="shared" si="15"/>
        <v>191.23060582002495</v>
      </c>
      <c r="G49" s="16">
        <f t="shared" si="16"/>
        <v>28319.975795486545</v>
      </c>
      <c r="H49" s="16">
        <f t="shared" si="17"/>
        <v>8360</v>
      </c>
      <c r="I49" s="16">
        <f t="shared" si="18"/>
        <v>36679.975795486549</v>
      </c>
      <c r="J49" s="16">
        <f t="shared" si="19"/>
        <v>56679.975795486549</v>
      </c>
      <c r="K49" s="16">
        <f t="shared" si="20"/>
        <v>1930.5250418677131</v>
      </c>
      <c r="L49" s="16">
        <f t="shared" si="21"/>
        <v>2983.1566208150816</v>
      </c>
      <c r="M49" s="20" t="str" cm="1">
        <f t="array" ref="M49">IF(_xlfn.SINGLE(carrot_sched_q)&lt;2,"",IF(_xlfn.SINGLE(carrot_sched_mc)&lt;INDEX(carrot_sched_mc,_xlfn.SINGLE(carrot_sched_q)),"FALL",""))</f>
        <v/>
      </c>
    </row>
    <row r="50" spans="1:15" x14ac:dyDescent="0.2">
      <c r="A50" s="19">
        <f t="shared" si="11"/>
        <v>20</v>
      </c>
      <c r="B50" s="16" cm="1">
        <f t="array" ref="B50">IF(_xlfn.SINGLE(carrot_sched_q)=0,"",_xlfn.SINGLE(carrot_sched_vc)-INDEX(carrot_sched_vc,_xlfn.SINGLE(carrot_sched_q)))</f>
        <v>1688.9454575384007</v>
      </c>
      <c r="C50" s="16">
        <f t="shared" si="12"/>
        <v>2094</v>
      </c>
      <c r="D50" s="10">
        <f t="shared" si="13"/>
        <v>983.16986417423732</v>
      </c>
      <c r="E50" s="10">
        <f t="shared" si="14"/>
        <v>720</v>
      </c>
      <c r="F50" s="10">
        <f t="shared" si="15"/>
        <v>263.16986417423732</v>
      </c>
      <c r="G50" s="16">
        <f t="shared" si="16"/>
        <v>29568.921253024953</v>
      </c>
      <c r="H50" s="16">
        <f t="shared" si="17"/>
        <v>8800</v>
      </c>
      <c r="I50" s="16">
        <f t="shared" si="18"/>
        <v>38368.92125302495</v>
      </c>
      <c r="J50" s="16">
        <f t="shared" si="19"/>
        <v>58368.92125302495</v>
      </c>
      <c r="K50" s="16">
        <f t="shared" si="20"/>
        <v>1918.4460626512475</v>
      </c>
      <c r="L50" s="16">
        <f t="shared" si="21"/>
        <v>2918.4460626512473</v>
      </c>
      <c r="M50" s="20" t="str" cm="1">
        <f t="array" ref="M50">IF(_xlfn.SINGLE(carrot_sched_q)&lt;2,"",IF(_xlfn.SINGLE(carrot_sched_mc)&lt;INDEX(carrot_sched_mc,_xlfn.SINGLE(carrot_sched_q)),"FALL",""))</f>
        <v/>
      </c>
    </row>
    <row r="52" spans="1:15" x14ac:dyDescent="0.2">
      <c r="A52" s="4" t="s">
        <v>77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5" ht="34" x14ac:dyDescent="0.2">
      <c r="A53" s="18" t="s">
        <v>63</v>
      </c>
      <c r="B53" s="18" t="s">
        <v>64</v>
      </c>
      <c r="C53" s="18" t="s">
        <v>65</v>
      </c>
      <c r="D53" s="18" t="s">
        <v>66</v>
      </c>
      <c r="E53" s="18" t="s">
        <v>67</v>
      </c>
      <c r="F53" s="18" t="s">
        <v>68</v>
      </c>
      <c r="G53" s="18" t="s">
        <v>69</v>
      </c>
      <c r="H53" s="18" t="s">
        <v>70</v>
      </c>
      <c r="I53" s="18" t="s">
        <v>71</v>
      </c>
      <c r="J53" s="18" t="s">
        <v>72</v>
      </c>
      <c r="K53" s="18" t="s">
        <v>73</v>
      </c>
      <c r="L53" s="18" t="s">
        <v>74</v>
      </c>
      <c r="M53" s="18" t="s">
        <v>75</v>
      </c>
    </row>
    <row r="54" spans="1:15" x14ac:dyDescent="0.2">
      <c r="A54" s="19">
        <f t="shared" ref="A54:A84" si="22">ROW()-ROW(mesclun_sched_anchor)</f>
        <v>0</v>
      </c>
      <c r="B54" s="16" t="str" cm="1">
        <f t="array" ref="B54">IF(_xlfn.SINGLE(mesclun_sched_q)=0,"",_xlfn.SINGLE(mesclun_sched_vc)-INDEX(mesclun_sched_vc,_xlfn.SINGLE(mesclun_sched_q)))</f>
        <v/>
      </c>
      <c r="C54" s="16" t="str">
        <f t="shared" ref="C54:C84" si="23">IF(mesclun_sched_q=0,"",mesclun_crop_price)</f>
        <v/>
      </c>
      <c r="D54" s="10">
        <f t="shared" ref="D54:D84" si="24">mesclun_sched_q*mesclun_crop_hrswk*season_weeks*(1+mesclun_crop_dim)^mesclun_sched_q</f>
        <v>0</v>
      </c>
      <c r="E54" s="10">
        <f t="shared" ref="E54:E84" si="25">MIN(_xlfn.SINGLE(mesclun_sched_hrs),farmer_hrs_field)</f>
        <v>0</v>
      </c>
      <c r="F54" s="10">
        <f t="shared" ref="F54:F84" si="26">mesclun_sched_hrs-mesclun_sched_perm</f>
        <v>0</v>
      </c>
      <c r="G54" s="16">
        <f t="shared" ref="G54:G84" si="27">mesclun_sched_perm*farmer_wage+mesclun_sched_temp*temp_wage</f>
        <v>0</v>
      </c>
      <c r="H54" s="16">
        <f t="shared" ref="H54:H84" si="28">mesclun_sched_q*mesclun_crop_fert</f>
        <v>0</v>
      </c>
      <c r="I54" s="16">
        <f t="shared" ref="I54:I84" si="29">mesclun_sched_labor+mesclun_sched_fert</f>
        <v>0</v>
      </c>
      <c r="J54" s="16">
        <f t="shared" ref="J54:J84" si="30">mesclun_sched_vc+fixed_costs</f>
        <v>20000</v>
      </c>
      <c r="K54" s="16" t="str">
        <f t="shared" ref="K54:K84" si="31">IF(mesclun_sched_q=0,"",mesclun_sched_vc/mesclun_sched_q)</f>
        <v/>
      </c>
      <c r="L54" s="16" t="str">
        <f t="shared" ref="L54:L84" si="32">IF(mesclun_sched_q=0,"",mesclun_sched_tc/mesclun_sched_q)</f>
        <v/>
      </c>
      <c r="M54" s="20" t="str" cm="1">
        <f t="array" ref="M54">IF(_xlfn.SINGLE(mesclun_sched_q)&lt;2,"",IF(_xlfn.SINGLE(mesclun_sched_mc)&lt;INDEX(mesclun_sched_mc,_xlfn.SINGLE(mesclun_sched_q)),"FALL",""))</f>
        <v/>
      </c>
      <c r="O54" s="17" t="s">
        <v>78</v>
      </c>
    </row>
    <row r="55" spans="1:15" x14ac:dyDescent="0.2">
      <c r="A55" s="19">
        <f t="shared" si="22"/>
        <v>1</v>
      </c>
      <c r="B55" s="16" cm="1">
        <f t="array" ref="B55">IF(_xlfn.SINGLE(mesclun_sched_q)=0,"",_xlfn.SINGLE(mesclun_sched_vc)-INDEX(mesclun_sched_vc,_xlfn.SINGLE(mesclun_sched_q)))</f>
        <v>2462.03125</v>
      </c>
      <c r="C55" s="16">
        <f t="shared" si="23"/>
        <v>2700</v>
      </c>
      <c r="D55" s="10">
        <f t="shared" si="24"/>
        <v>45.5625</v>
      </c>
      <c r="E55" s="10">
        <f t="shared" si="25"/>
        <v>45.5625</v>
      </c>
      <c r="F55" s="10">
        <f t="shared" si="26"/>
        <v>0</v>
      </c>
      <c r="G55" s="16">
        <f t="shared" si="27"/>
        <v>1582.03125</v>
      </c>
      <c r="H55" s="16">
        <f t="shared" si="28"/>
        <v>880</v>
      </c>
      <c r="I55" s="16">
        <f t="shared" si="29"/>
        <v>2462.03125</v>
      </c>
      <c r="J55" s="16">
        <f t="shared" si="30"/>
        <v>22462.03125</v>
      </c>
      <c r="K55" s="16">
        <f t="shared" si="31"/>
        <v>2462.03125</v>
      </c>
      <c r="L55" s="16">
        <f t="shared" si="32"/>
        <v>22462.03125</v>
      </c>
      <c r="M55" s="20" t="str" cm="1">
        <f t="array" ref="M55">IF(_xlfn.SINGLE(mesclun_sched_q)&lt;2,"",IF(_xlfn.SINGLE(mesclun_sched_mc)&lt;INDEX(mesclun_sched_mc,_xlfn.SINGLE(mesclun_sched_q)),"FALL",""))</f>
        <v/>
      </c>
    </row>
    <row r="56" spans="1:15" x14ac:dyDescent="0.2">
      <c r="A56" s="19">
        <f t="shared" si="22"/>
        <v>2</v>
      </c>
      <c r="B56" s="16" cm="1">
        <f t="array" ref="B56">IF(_xlfn.SINGLE(mesclun_sched_q)=0,"",_xlfn.SINGLE(mesclun_sched_vc)-INDEX(mesclun_sched_vc,_xlfn.SINGLE(mesclun_sched_q)))</f>
        <v>2501.58203125</v>
      </c>
      <c r="C56" s="16">
        <f t="shared" si="23"/>
        <v>2700</v>
      </c>
      <c r="D56" s="10">
        <f t="shared" si="24"/>
        <v>92.264062499999994</v>
      </c>
      <c r="E56" s="10">
        <f t="shared" si="25"/>
        <v>92.264062499999994</v>
      </c>
      <c r="F56" s="10">
        <f t="shared" si="26"/>
        <v>0</v>
      </c>
      <c r="G56" s="16">
        <f t="shared" si="27"/>
        <v>3203.6132812499995</v>
      </c>
      <c r="H56" s="16">
        <f t="shared" si="28"/>
        <v>1760</v>
      </c>
      <c r="I56" s="16">
        <f t="shared" si="29"/>
        <v>4963.61328125</v>
      </c>
      <c r="J56" s="16">
        <f t="shared" si="30"/>
        <v>24963.61328125</v>
      </c>
      <c r="K56" s="16">
        <f t="shared" si="31"/>
        <v>2481.806640625</v>
      </c>
      <c r="L56" s="16">
        <f t="shared" si="32"/>
        <v>12481.806640625</v>
      </c>
      <c r="M56" s="20" t="str" cm="1">
        <f t="array" ref="M56">IF(_xlfn.SINGLE(mesclun_sched_q)&lt;2,"",IF(_xlfn.SINGLE(mesclun_sched_mc)&lt;INDEX(mesclun_sched_mc,_xlfn.SINGLE(mesclun_sched_q)),"FALL",""))</f>
        <v/>
      </c>
    </row>
    <row r="57" spans="1:15" x14ac:dyDescent="0.2">
      <c r="A57" s="19">
        <f t="shared" si="22"/>
        <v>3</v>
      </c>
      <c r="B57" s="16" cm="1">
        <f t="array" ref="B57">IF(_xlfn.SINGLE(mesclun_sched_q)=0,"",_xlfn.SINGLE(mesclun_sched_vc)-INDEX(mesclun_sched_vc,_xlfn.SINGLE(mesclun_sched_q)))</f>
        <v>2541.8743896484366</v>
      </c>
      <c r="C57" s="16">
        <f t="shared" si="23"/>
        <v>2700</v>
      </c>
      <c r="D57" s="10">
        <f t="shared" si="24"/>
        <v>140.12604492187498</v>
      </c>
      <c r="E57" s="10">
        <f t="shared" si="25"/>
        <v>140.12604492187498</v>
      </c>
      <c r="F57" s="10">
        <f t="shared" si="26"/>
        <v>0</v>
      </c>
      <c r="G57" s="16">
        <f t="shared" si="27"/>
        <v>4865.4876708984366</v>
      </c>
      <c r="H57" s="16">
        <f t="shared" si="28"/>
        <v>2640</v>
      </c>
      <c r="I57" s="16">
        <f t="shared" si="29"/>
        <v>7505.4876708984366</v>
      </c>
      <c r="J57" s="16">
        <f t="shared" si="30"/>
        <v>27505.487670898438</v>
      </c>
      <c r="K57" s="16">
        <f t="shared" si="31"/>
        <v>2501.829223632812</v>
      </c>
      <c r="L57" s="16">
        <f t="shared" si="32"/>
        <v>9168.4958902994786</v>
      </c>
      <c r="M57" s="20" t="str" cm="1">
        <f t="array" ref="M57">IF(_xlfn.SINGLE(mesclun_sched_q)&lt;2,"",IF(_xlfn.SINGLE(mesclun_sched_mc)&lt;INDEX(mesclun_sched_mc,_xlfn.SINGLE(mesclun_sched_q)),"FALL",""))</f>
        <v/>
      </c>
    </row>
    <row r="58" spans="1:15" x14ac:dyDescent="0.2">
      <c r="A58" s="19">
        <f t="shared" si="22"/>
        <v>4</v>
      </c>
      <c r="B58" s="16" cm="1">
        <f t="array" ref="B58">IF(_xlfn.SINGLE(mesclun_sched_q)=0,"",_xlfn.SINGLE(mesclun_sched_vc)-INDEX(mesclun_sched_vc,_xlfn.SINGLE(mesclun_sched_q)))</f>
        <v>2582.920684814454</v>
      </c>
      <c r="C58" s="16">
        <f t="shared" si="23"/>
        <v>2700</v>
      </c>
      <c r="D58" s="10">
        <f t="shared" si="24"/>
        <v>189.17016064453125</v>
      </c>
      <c r="E58" s="10">
        <f t="shared" si="25"/>
        <v>189.17016064453125</v>
      </c>
      <c r="F58" s="10">
        <f t="shared" si="26"/>
        <v>0</v>
      </c>
      <c r="G58" s="16">
        <f t="shared" si="27"/>
        <v>6568.4083557128906</v>
      </c>
      <c r="H58" s="16">
        <f t="shared" si="28"/>
        <v>3520</v>
      </c>
      <c r="I58" s="16">
        <f t="shared" si="29"/>
        <v>10088.408355712891</v>
      </c>
      <c r="J58" s="16">
        <f t="shared" si="30"/>
        <v>30088.408355712891</v>
      </c>
      <c r="K58" s="16">
        <f t="shared" si="31"/>
        <v>2522.1020889282227</v>
      </c>
      <c r="L58" s="16">
        <f t="shared" si="32"/>
        <v>7522.1020889282227</v>
      </c>
      <c r="M58" s="20" t="str" cm="1">
        <f t="array" ref="M58">IF(_xlfn.SINGLE(mesclun_sched_q)&lt;2,"",IF(_xlfn.SINGLE(mesclun_sched_mc)&lt;INDEX(mesclun_sched_mc,_xlfn.SINGLE(mesclun_sched_q)),"FALL",""))</f>
        <v/>
      </c>
    </row>
    <row r="59" spans="1:15" x14ac:dyDescent="0.2">
      <c r="A59" s="19">
        <f t="shared" si="22"/>
        <v>5</v>
      </c>
      <c r="B59" s="16" cm="1">
        <f t="array" ref="B59">IF(_xlfn.SINGLE(mesclun_sched_q)=0,"",_xlfn.SINGLE(mesclun_sched_vc)-INDEX(mesclun_sched_vc,_xlfn.SINGLE(mesclun_sched_q)))</f>
        <v>2624.7334694862348</v>
      </c>
      <c r="C59" s="16">
        <f t="shared" si="23"/>
        <v>2700</v>
      </c>
      <c r="D59" s="10">
        <f t="shared" si="24"/>
        <v>239.41848456573481</v>
      </c>
      <c r="E59" s="10">
        <f t="shared" si="25"/>
        <v>239.41848456573481</v>
      </c>
      <c r="F59" s="10">
        <f t="shared" si="26"/>
        <v>0</v>
      </c>
      <c r="G59" s="16">
        <f t="shared" si="27"/>
        <v>8313.1418251991254</v>
      </c>
      <c r="H59" s="16">
        <f t="shared" si="28"/>
        <v>4400</v>
      </c>
      <c r="I59" s="16">
        <f t="shared" si="29"/>
        <v>12713.141825199125</v>
      </c>
      <c r="J59" s="16">
        <f t="shared" si="30"/>
        <v>32713.141825199127</v>
      </c>
      <c r="K59" s="16">
        <f t="shared" si="31"/>
        <v>2542.628365039825</v>
      </c>
      <c r="L59" s="16">
        <f t="shared" si="32"/>
        <v>6542.6283650398254</v>
      </c>
      <c r="M59" s="20" t="str" cm="1">
        <f t="array" ref="M59">IF(_xlfn.SINGLE(mesclun_sched_q)&lt;2,"",IF(_xlfn.SINGLE(mesclun_sched_mc)&lt;INDEX(mesclun_sched_mc,_xlfn.SINGLE(mesclun_sched_q)),"FALL",""))</f>
        <v/>
      </c>
    </row>
    <row r="60" spans="1:15" x14ac:dyDescent="0.2">
      <c r="A60" s="19">
        <f t="shared" si="22"/>
        <v>6</v>
      </c>
      <c r="B60" s="16" cm="1">
        <f t="array" ref="B60">IF(_xlfn.SINGLE(mesclun_sched_q)=0,"",_xlfn.SINGLE(mesclun_sched_vc)-INDEX(mesclun_sched_vc,_xlfn.SINGLE(mesclun_sched_q)))</f>
        <v>2667.3254924178127</v>
      </c>
      <c r="C60" s="16">
        <f t="shared" si="23"/>
        <v>2700</v>
      </c>
      <c r="D60" s="10">
        <f t="shared" si="24"/>
        <v>290.89345874736784</v>
      </c>
      <c r="E60" s="10">
        <f t="shared" si="25"/>
        <v>290.89345874736784</v>
      </c>
      <c r="F60" s="10">
        <f t="shared" si="26"/>
        <v>0</v>
      </c>
      <c r="G60" s="16">
        <f t="shared" si="27"/>
        <v>10100.467317616938</v>
      </c>
      <c r="H60" s="16">
        <f t="shared" si="28"/>
        <v>5280</v>
      </c>
      <c r="I60" s="16">
        <f t="shared" si="29"/>
        <v>15380.467317616938</v>
      </c>
      <c r="J60" s="16">
        <f t="shared" si="30"/>
        <v>35380.467317616938</v>
      </c>
      <c r="K60" s="16">
        <f t="shared" si="31"/>
        <v>2563.4112196028232</v>
      </c>
      <c r="L60" s="16">
        <f t="shared" si="32"/>
        <v>5896.7445529361567</v>
      </c>
      <c r="M60" s="20" t="str" cm="1">
        <f t="array" ref="M60">IF(_xlfn.SINGLE(mesclun_sched_q)&lt;2,"",IF(_xlfn.SINGLE(mesclun_sched_mc)&lt;INDEX(mesclun_sched_mc,_xlfn.SINGLE(mesclun_sched_q)),"FALL",""))</f>
        <v/>
      </c>
    </row>
    <row r="61" spans="1:15" x14ac:dyDescent="0.2">
      <c r="A61" s="19">
        <f t="shared" si="22"/>
        <v>7</v>
      </c>
      <c r="B61" s="16" cm="1">
        <f t="array" ref="B61">IF(_xlfn.SINGLE(mesclun_sched_q)=0,"",_xlfn.SINGLE(mesclun_sched_vc)-INDEX(mesclun_sched_vc,_xlfn.SINGLE(mesclun_sched_q)))</f>
        <v>2710.7097013180683</v>
      </c>
      <c r="C61" s="16">
        <f t="shared" si="23"/>
        <v>2700</v>
      </c>
      <c r="D61" s="10">
        <f t="shared" si="24"/>
        <v>343.61789814532818</v>
      </c>
      <c r="E61" s="10">
        <f t="shared" si="25"/>
        <v>343.61789814532818</v>
      </c>
      <c r="F61" s="10">
        <f t="shared" si="26"/>
        <v>0</v>
      </c>
      <c r="G61" s="16">
        <f t="shared" si="27"/>
        <v>11931.177018935006</v>
      </c>
      <c r="H61" s="16">
        <f t="shared" si="28"/>
        <v>6160</v>
      </c>
      <c r="I61" s="16">
        <f t="shared" si="29"/>
        <v>18091.177018935006</v>
      </c>
      <c r="J61" s="16">
        <f t="shared" si="30"/>
        <v>38091.177018935006</v>
      </c>
      <c r="K61" s="16">
        <f t="shared" si="31"/>
        <v>2584.453859847858</v>
      </c>
      <c r="L61" s="16">
        <f t="shared" si="32"/>
        <v>5441.5967169907153</v>
      </c>
      <c r="M61" s="20" t="str" cm="1">
        <f t="array" ref="M61">IF(_xlfn.SINGLE(mesclun_sched_q)&lt;2,"",IF(_xlfn.SINGLE(mesclun_sched_mc)&lt;INDEX(mesclun_sched_mc,_xlfn.SINGLE(mesclun_sched_q)),"FALL",""))</f>
        <v/>
      </c>
    </row>
    <row r="62" spans="1:15" x14ac:dyDescent="0.2">
      <c r="A62" s="19">
        <f t="shared" si="22"/>
        <v>8</v>
      </c>
      <c r="B62" s="16" cm="1">
        <f t="array" ref="B62">IF(_xlfn.SINGLE(mesclun_sched_q)=0,"",_xlfn.SINGLE(mesclun_sched_vc)-INDEX(mesclun_sched_vc,_xlfn.SINGLE(mesclun_sched_q)))</f>
        <v>2754.8992458326466</v>
      </c>
      <c r="C62" s="16">
        <f t="shared" si="23"/>
        <v>2700</v>
      </c>
      <c r="D62" s="10">
        <f t="shared" si="24"/>
        <v>397.61499642530839</v>
      </c>
      <c r="E62" s="10">
        <f t="shared" si="25"/>
        <v>397.61499642530839</v>
      </c>
      <c r="F62" s="10">
        <f t="shared" si="26"/>
        <v>0</v>
      </c>
      <c r="G62" s="16">
        <f t="shared" si="27"/>
        <v>13806.076264767653</v>
      </c>
      <c r="H62" s="16">
        <f t="shared" si="28"/>
        <v>7040</v>
      </c>
      <c r="I62" s="16">
        <f t="shared" si="29"/>
        <v>20846.076264767653</v>
      </c>
      <c r="J62" s="16">
        <f t="shared" si="30"/>
        <v>40846.076264767653</v>
      </c>
      <c r="K62" s="16">
        <f t="shared" si="31"/>
        <v>2605.7595330959566</v>
      </c>
      <c r="L62" s="16">
        <f t="shared" si="32"/>
        <v>5105.7595330959566</v>
      </c>
      <c r="M62" s="20" t="str" cm="1">
        <f t="array" ref="M62">IF(_xlfn.SINGLE(mesclun_sched_q)&lt;2,"",IF(_xlfn.SINGLE(mesclun_sched_mc)&lt;INDEX(mesclun_sched_mc,_xlfn.SINGLE(mesclun_sched_q)),"FALL",""))</f>
        <v/>
      </c>
    </row>
    <row r="63" spans="1:15" x14ac:dyDescent="0.2">
      <c r="A63" s="19">
        <f t="shared" si="22"/>
        <v>9</v>
      </c>
      <c r="B63" s="16" cm="1">
        <f t="array" ref="B63">IF(_xlfn.SINGLE(mesclun_sched_q)=0,"",_xlfn.SINGLE(mesclun_sched_vc)-INDEX(mesclun_sched_vc,_xlfn.SINGLE(mesclun_sched_q)))</f>
        <v>2799.9074805692508</v>
      </c>
      <c r="C63" s="16">
        <f t="shared" si="23"/>
        <v>2700</v>
      </c>
      <c r="D63" s="10">
        <f t="shared" si="24"/>
        <v>452.90833186570285</v>
      </c>
      <c r="E63" s="10">
        <f t="shared" si="25"/>
        <v>452.90833186570285</v>
      </c>
      <c r="F63" s="10">
        <f t="shared" si="26"/>
        <v>0</v>
      </c>
      <c r="G63" s="16">
        <f t="shared" si="27"/>
        <v>15725.983745336904</v>
      </c>
      <c r="H63" s="16">
        <f t="shared" si="28"/>
        <v>7920</v>
      </c>
      <c r="I63" s="16">
        <f t="shared" si="29"/>
        <v>23645.983745336904</v>
      </c>
      <c r="J63" s="16">
        <f t="shared" si="30"/>
        <v>43645.983745336904</v>
      </c>
      <c r="K63" s="16">
        <f t="shared" si="31"/>
        <v>2627.331527259656</v>
      </c>
      <c r="L63" s="16">
        <f t="shared" si="32"/>
        <v>4849.5537494818782</v>
      </c>
      <c r="M63" s="20" t="str" cm="1">
        <f t="array" ref="M63">IF(_xlfn.SINGLE(mesclun_sched_q)&lt;2,"",IF(_xlfn.SINGLE(mesclun_sched_mc)&lt;INDEX(mesclun_sched_mc,_xlfn.SINGLE(mesclun_sched_q)),"FALL",""))</f>
        <v/>
      </c>
    </row>
    <row r="64" spans="1:15" x14ac:dyDescent="0.2">
      <c r="A64" s="19">
        <f t="shared" si="22"/>
        <v>10</v>
      </c>
      <c r="B64" s="16" cm="1">
        <f t="array" ref="B64">IF(_xlfn.SINGLE(mesclun_sched_q)=0,"",_xlfn.SINGLE(mesclun_sched_vc)-INDEX(mesclun_sched_vc,_xlfn.SINGLE(mesclun_sched_q)))</f>
        <v>2845.7479681671139</v>
      </c>
      <c r="C64" s="16">
        <f t="shared" si="23"/>
        <v>2700</v>
      </c>
      <c r="D64" s="10">
        <f t="shared" si="24"/>
        <v>509.52187334891573</v>
      </c>
      <c r="E64" s="10">
        <f t="shared" si="25"/>
        <v>509.52187334891573</v>
      </c>
      <c r="F64" s="10">
        <f t="shared" si="26"/>
        <v>0</v>
      </c>
      <c r="G64" s="16">
        <f t="shared" si="27"/>
        <v>17691.731713504018</v>
      </c>
      <c r="H64" s="16">
        <f t="shared" si="28"/>
        <v>8800</v>
      </c>
      <c r="I64" s="16">
        <f t="shared" si="29"/>
        <v>26491.731713504018</v>
      </c>
      <c r="J64" s="16">
        <f t="shared" si="30"/>
        <v>46491.731713504021</v>
      </c>
      <c r="K64" s="16">
        <f t="shared" si="31"/>
        <v>2649.1731713504018</v>
      </c>
      <c r="L64" s="16">
        <f t="shared" si="32"/>
        <v>4649.1731713504023</v>
      </c>
      <c r="M64" s="20" t="str" cm="1">
        <f t="array" ref="M64">IF(_xlfn.SINGLE(mesclun_sched_q)&lt;2,"",IF(_xlfn.SINGLE(mesclun_sched_mc)&lt;INDEX(mesclun_sched_mc,_xlfn.SINGLE(mesclun_sched_q)),"FALL",""))</f>
        <v/>
      </c>
    </row>
    <row r="65" spans="1:13" x14ac:dyDescent="0.2">
      <c r="A65" s="19">
        <f t="shared" si="22"/>
        <v>11</v>
      </c>
      <c r="B65" s="16" cm="1">
        <f t="array" ref="B65">IF(_xlfn.SINGLE(mesclun_sched_q)=0,"",_xlfn.SINGLE(mesclun_sched_vc)-INDEX(mesclun_sched_vc,_xlfn.SINGLE(mesclun_sched_q)))</f>
        <v>2892.4344824110776</v>
      </c>
      <c r="C65" s="16">
        <f t="shared" si="23"/>
        <v>2700</v>
      </c>
      <c r="D65" s="10">
        <f t="shared" si="24"/>
        <v>567.47998644235474</v>
      </c>
      <c r="E65" s="10">
        <f t="shared" si="25"/>
        <v>567.47998644235474</v>
      </c>
      <c r="F65" s="10">
        <f t="shared" si="26"/>
        <v>0</v>
      </c>
      <c r="G65" s="16">
        <f t="shared" si="27"/>
        <v>19704.166195915095</v>
      </c>
      <c r="H65" s="16">
        <f t="shared" si="28"/>
        <v>9680</v>
      </c>
      <c r="I65" s="16">
        <f t="shared" si="29"/>
        <v>29384.166195915095</v>
      </c>
      <c r="J65" s="16">
        <f t="shared" si="30"/>
        <v>49384.166195915095</v>
      </c>
      <c r="K65" s="16">
        <f t="shared" si="31"/>
        <v>2671.2878359922815</v>
      </c>
      <c r="L65" s="16">
        <f t="shared" si="32"/>
        <v>4489.4696541740996</v>
      </c>
      <c r="M65" s="20" t="str" cm="1">
        <f t="array" ref="M65">IF(_xlfn.SINGLE(mesclun_sched_q)&lt;2,"",IF(_xlfn.SINGLE(mesclun_sched_mc)&lt;INDEX(mesclun_sched_mc,_xlfn.SINGLE(mesclun_sched_q)),"FALL",""))</f>
        <v/>
      </c>
    </row>
    <row r="66" spans="1:13" x14ac:dyDescent="0.2">
      <c r="A66" s="19">
        <f t="shared" si="22"/>
        <v>12</v>
      </c>
      <c r="B66" s="16" cm="1">
        <f t="array" ref="B66">IF(_xlfn.SINGLE(mesclun_sched_q)=0,"",_xlfn.SINGLE(mesclun_sched_vc)-INDEX(mesclun_sched_vc,_xlfn.SINGLE(mesclun_sched_q)))</f>
        <v>2939.9810113911262</v>
      </c>
      <c r="C66" s="16">
        <f t="shared" si="23"/>
        <v>2700</v>
      </c>
      <c r="D66" s="10">
        <f t="shared" si="24"/>
        <v>626.80743957041921</v>
      </c>
      <c r="E66" s="10">
        <f t="shared" si="25"/>
        <v>626.80743957041921</v>
      </c>
      <c r="F66" s="10">
        <f t="shared" si="26"/>
        <v>0</v>
      </c>
      <c r="G66" s="16">
        <f t="shared" si="27"/>
        <v>21764.147207306221</v>
      </c>
      <c r="H66" s="16">
        <f t="shared" si="28"/>
        <v>10560</v>
      </c>
      <c r="I66" s="16">
        <f t="shared" si="29"/>
        <v>32324.147207306221</v>
      </c>
      <c r="J66" s="16">
        <f t="shared" si="30"/>
        <v>52324.147207306218</v>
      </c>
      <c r="K66" s="16">
        <f t="shared" si="31"/>
        <v>2693.6789339421853</v>
      </c>
      <c r="L66" s="16">
        <f t="shared" si="32"/>
        <v>4360.3456006088518</v>
      </c>
      <c r="M66" s="20" t="str" cm="1">
        <f t="array" ref="M66">IF(_xlfn.SINGLE(mesclun_sched_q)&lt;2,"",IF(_xlfn.SINGLE(mesclun_sched_mc)&lt;INDEX(mesclun_sched_mc,_xlfn.SINGLE(mesclun_sched_q)),"FALL",""))</f>
        <v/>
      </c>
    </row>
    <row r="67" spans="1:13" x14ac:dyDescent="0.2">
      <c r="A67" s="19">
        <f t="shared" si="22"/>
        <v>13</v>
      </c>
      <c r="B67" s="16" cm="1">
        <f t="array" ref="B67">IF(_xlfn.SINGLE(mesclun_sched_q)=0,"",_xlfn.SINGLE(mesclun_sched_vc)-INDEX(mesclun_sched_vc,_xlfn.SINGLE(mesclun_sched_q)))</f>
        <v>2988.4017607077876</v>
      </c>
      <c r="C67" s="16">
        <f t="shared" si="23"/>
        <v>2700</v>
      </c>
      <c r="D67" s="10">
        <f t="shared" si="24"/>
        <v>687.52941027880343</v>
      </c>
      <c r="E67" s="10">
        <f t="shared" si="25"/>
        <v>687.52941027880343</v>
      </c>
      <c r="F67" s="10">
        <f t="shared" si="26"/>
        <v>0</v>
      </c>
      <c r="G67" s="16">
        <f t="shared" si="27"/>
        <v>23872.548968014009</v>
      </c>
      <c r="H67" s="16">
        <f t="shared" si="28"/>
        <v>11440</v>
      </c>
      <c r="I67" s="16">
        <f t="shared" si="29"/>
        <v>35312.548968014009</v>
      </c>
      <c r="J67" s="16">
        <f t="shared" si="30"/>
        <v>55312.548968014009</v>
      </c>
      <c r="K67" s="16">
        <f t="shared" si="31"/>
        <v>2716.3499206164624</v>
      </c>
      <c r="L67" s="16">
        <f t="shared" si="32"/>
        <v>4254.8114590780006</v>
      </c>
      <c r="M67" s="20" t="str" cm="1">
        <f t="array" ref="M67">IF(_xlfn.SINGLE(mesclun_sched_q)&lt;2,"",IF(_xlfn.SINGLE(mesclun_sched_mc)&lt;INDEX(mesclun_sched_mc,_xlfn.SINGLE(mesclun_sched_q)),"FALL",""))</f>
        <v/>
      </c>
    </row>
    <row r="68" spans="1:13" x14ac:dyDescent="0.2">
      <c r="A68" s="19">
        <f t="shared" si="22"/>
        <v>14</v>
      </c>
      <c r="B68" s="16" cm="1">
        <f t="array" ref="B68">IF(_xlfn.SINGLE(mesclun_sched_q)=0,"",_xlfn.SINGLE(mesclun_sched_vc)-INDEX(mesclun_sched_vc,_xlfn.SINGLE(mesclun_sched_q)))</f>
        <v>2522.5810943551696</v>
      </c>
      <c r="C68" s="16">
        <f t="shared" si="23"/>
        <v>2700</v>
      </c>
      <c r="D68" s="10">
        <f t="shared" si="24"/>
        <v>749.67149159246469</v>
      </c>
      <c r="E68" s="10">
        <f t="shared" si="25"/>
        <v>720</v>
      </c>
      <c r="F68" s="10">
        <f t="shared" si="26"/>
        <v>29.67149159246469</v>
      </c>
      <c r="G68" s="16">
        <f t="shared" si="27"/>
        <v>25515.130062369179</v>
      </c>
      <c r="H68" s="16">
        <f t="shared" si="28"/>
        <v>12320</v>
      </c>
      <c r="I68" s="16">
        <f t="shared" si="29"/>
        <v>37835.130062369179</v>
      </c>
      <c r="J68" s="16">
        <f t="shared" si="30"/>
        <v>57835.130062369179</v>
      </c>
      <c r="K68" s="16">
        <f t="shared" si="31"/>
        <v>2702.5092901692269</v>
      </c>
      <c r="L68" s="16">
        <f t="shared" si="32"/>
        <v>4131.0807187406554</v>
      </c>
      <c r="M68" s="20" t="str" cm="1">
        <f t="array" ref="M68">IF(_xlfn.SINGLE(mesclun_sched_q)&lt;2,"",IF(_xlfn.SINGLE(mesclun_sched_mc)&lt;INDEX(mesclun_sched_mc,_xlfn.SINGLE(mesclun_sched_q)),"FALL",""))</f>
        <v>FALL</v>
      </c>
    </row>
    <row r="69" spans="1:13" x14ac:dyDescent="0.2">
      <c r="A69" s="19">
        <f t="shared" si="22"/>
        <v>15</v>
      </c>
      <c r="B69" s="16" cm="1">
        <f t="array" ref="B69">IF(_xlfn.SINGLE(mesclun_sched_q)=0,"",_xlfn.SINGLE(mesclun_sched_vc)-INDEX(mesclun_sched_vc,_xlfn.SINGLE(mesclun_sched_q)))</f>
        <v>1983.9619249331008</v>
      </c>
      <c r="C69" s="16">
        <f t="shared" si="23"/>
        <v>2700</v>
      </c>
      <c r="D69" s="10">
        <f t="shared" si="24"/>
        <v>813.25969846861108</v>
      </c>
      <c r="E69" s="10">
        <f t="shared" si="25"/>
        <v>720</v>
      </c>
      <c r="F69" s="10">
        <f t="shared" si="26"/>
        <v>93.259698468611077</v>
      </c>
      <c r="G69" s="16">
        <f t="shared" si="27"/>
        <v>26619.091987302276</v>
      </c>
      <c r="H69" s="16">
        <f t="shared" si="28"/>
        <v>13200</v>
      </c>
      <c r="I69" s="16">
        <f t="shared" si="29"/>
        <v>39819.091987302279</v>
      </c>
      <c r="J69" s="16">
        <f t="shared" si="30"/>
        <v>59819.091987302279</v>
      </c>
      <c r="K69" s="16">
        <f t="shared" si="31"/>
        <v>2654.6061324868188</v>
      </c>
      <c r="L69" s="16">
        <f t="shared" si="32"/>
        <v>3987.9394658201518</v>
      </c>
      <c r="M69" s="20" t="str" cm="1">
        <f t="array" ref="M69">IF(_xlfn.SINGLE(mesclun_sched_q)&lt;2,"",IF(_xlfn.SINGLE(mesclun_sched_mc)&lt;INDEX(mesclun_sched_mc,_xlfn.SINGLE(mesclun_sched_q)),"FALL",""))</f>
        <v>FALL</v>
      </c>
    </row>
    <row r="70" spans="1:13" x14ac:dyDescent="0.2">
      <c r="A70" s="19">
        <f t="shared" si="22"/>
        <v>16</v>
      </c>
      <c r="B70" s="16" cm="1">
        <f t="array" ref="B70">IF(_xlfn.SINGLE(mesclun_sched_q)=0,"",_xlfn.SINGLE(mesclun_sched_vc)-INDEX(mesclun_sched_vc,_xlfn.SINGLE(mesclun_sched_q)))</f>
        <v>2009.5273589841818</v>
      </c>
      <c r="C70" s="16">
        <f t="shared" si="23"/>
        <v>2700</v>
      </c>
      <c r="D70" s="10">
        <f t="shared" si="24"/>
        <v>878.32047434610013</v>
      </c>
      <c r="E70" s="10">
        <f t="shared" si="25"/>
        <v>720</v>
      </c>
      <c r="F70" s="10">
        <f t="shared" si="26"/>
        <v>158.32047434610013</v>
      </c>
      <c r="G70" s="16">
        <f t="shared" si="27"/>
        <v>27748.619346286461</v>
      </c>
      <c r="H70" s="16">
        <f t="shared" si="28"/>
        <v>14080</v>
      </c>
      <c r="I70" s="16">
        <f t="shared" si="29"/>
        <v>41828.619346286461</v>
      </c>
      <c r="J70" s="16">
        <f t="shared" si="30"/>
        <v>61828.619346286461</v>
      </c>
      <c r="K70" s="16">
        <f t="shared" si="31"/>
        <v>2614.2887091429038</v>
      </c>
      <c r="L70" s="16">
        <f t="shared" si="32"/>
        <v>3864.2887091429038</v>
      </c>
      <c r="M70" s="20" t="str" cm="1">
        <f t="array" ref="M70">IF(_xlfn.SINGLE(mesclun_sched_q)&lt;2,"",IF(_xlfn.SINGLE(mesclun_sched_mc)&lt;INDEX(mesclun_sched_mc,_xlfn.SINGLE(mesclun_sched_q)),"FALL",""))</f>
        <v/>
      </c>
    </row>
    <row r="71" spans="1:13" x14ac:dyDescent="0.2">
      <c r="A71" s="19">
        <f t="shared" si="22"/>
        <v>17</v>
      </c>
      <c r="B71" s="16" cm="1">
        <f t="array" ref="B71">IF(_xlfn.SINGLE(mesclun_sched_q)=0,"",_xlfn.SINGLE(mesclun_sched_vc)-INDEX(mesclun_sched_vc,_xlfn.SINGLE(mesclun_sched_q)))</f>
        <v>2035.5594348357699</v>
      </c>
      <c r="C71" s="16">
        <f t="shared" si="23"/>
        <v>2700</v>
      </c>
      <c r="D71" s="10">
        <f t="shared" si="24"/>
        <v>944.88069779264049</v>
      </c>
      <c r="E71" s="10">
        <f t="shared" si="25"/>
        <v>720</v>
      </c>
      <c r="F71" s="10">
        <f t="shared" si="26"/>
        <v>224.88069779264049</v>
      </c>
      <c r="G71" s="16">
        <f t="shared" si="27"/>
        <v>28904.178781122231</v>
      </c>
      <c r="H71" s="16">
        <f t="shared" si="28"/>
        <v>14960</v>
      </c>
      <c r="I71" s="16">
        <f t="shared" si="29"/>
        <v>43864.178781122231</v>
      </c>
      <c r="J71" s="16">
        <f t="shared" si="30"/>
        <v>63864.178781122231</v>
      </c>
      <c r="K71" s="16">
        <f t="shared" si="31"/>
        <v>2580.245810654249</v>
      </c>
      <c r="L71" s="16">
        <f t="shared" si="32"/>
        <v>3756.7163988895431</v>
      </c>
      <c r="M71" s="20" t="str" cm="1">
        <f t="array" ref="M71">IF(_xlfn.SINGLE(mesclun_sched_q)&lt;2,"",IF(_xlfn.SINGLE(mesclun_sched_mc)&lt;INDEX(mesclun_sched_mc,_xlfn.SINGLE(mesclun_sched_q)),"FALL",""))</f>
        <v/>
      </c>
    </row>
    <row r="72" spans="1:13" x14ac:dyDescent="0.2">
      <c r="A72" s="19">
        <f t="shared" si="22"/>
        <v>18</v>
      </c>
      <c r="B72" s="16" cm="1">
        <f t="array" ref="B72">IF(_xlfn.SINGLE(mesclun_sched_q)=0,"",_xlfn.SINGLE(mesclun_sched_vc)-INDEX(mesclun_sched_vc,_xlfn.SINGLE(mesclun_sched_q)))</f>
        <v>2062.0658239338081</v>
      </c>
      <c r="C72" s="16">
        <f t="shared" si="23"/>
        <v>2700</v>
      </c>
      <c r="D72" s="10">
        <f t="shared" si="24"/>
        <v>1012.9676892512279</v>
      </c>
      <c r="E72" s="10">
        <f t="shared" si="25"/>
        <v>720</v>
      </c>
      <c r="F72" s="10">
        <f t="shared" si="26"/>
        <v>292.96768925122785</v>
      </c>
      <c r="G72" s="16">
        <f t="shared" si="27"/>
        <v>30086.244605056039</v>
      </c>
      <c r="H72" s="16">
        <f t="shared" si="28"/>
        <v>15840</v>
      </c>
      <c r="I72" s="16">
        <f t="shared" si="29"/>
        <v>45926.244605056039</v>
      </c>
      <c r="J72" s="16">
        <f t="shared" si="30"/>
        <v>65926.244605056039</v>
      </c>
      <c r="K72" s="16">
        <f t="shared" si="31"/>
        <v>2551.4580336142244</v>
      </c>
      <c r="L72" s="16">
        <f t="shared" si="32"/>
        <v>3662.5691447253357</v>
      </c>
      <c r="M72" s="20" t="str" cm="1">
        <f t="array" ref="M72">IF(_xlfn.SINGLE(mesclun_sched_q)&lt;2,"",IF(_xlfn.SINGLE(mesclun_sched_mc)&lt;INDEX(mesclun_sched_mc,_xlfn.SINGLE(mesclun_sched_q)),"FALL",""))</f>
        <v/>
      </c>
    </row>
    <row r="73" spans="1:13" x14ac:dyDescent="0.2">
      <c r="A73" s="19">
        <f t="shared" si="22"/>
        <v>19</v>
      </c>
      <c r="B73" s="16" cm="1">
        <f t="array" ref="B73">IF(_xlfn.SINGLE(mesclun_sched_q)=0,"",_xlfn.SINGLE(mesclun_sched_vc)-INDEX(mesclun_sched_vc,_xlfn.SINGLE(mesclun_sched_q)))</f>
        <v>2089.0543165975978</v>
      </c>
      <c r="C73" s="16">
        <f t="shared" si="23"/>
        <v>2700</v>
      </c>
      <c r="D73" s="10">
        <f t="shared" si="24"/>
        <v>1082.6092178872495</v>
      </c>
      <c r="E73" s="10">
        <f t="shared" si="25"/>
        <v>720</v>
      </c>
      <c r="F73" s="10">
        <f t="shared" si="26"/>
        <v>362.60921788724954</v>
      </c>
      <c r="G73" s="16">
        <f t="shared" si="27"/>
        <v>31295.298921653637</v>
      </c>
      <c r="H73" s="16">
        <f t="shared" si="28"/>
        <v>16720</v>
      </c>
      <c r="I73" s="16">
        <f t="shared" si="29"/>
        <v>48015.298921653637</v>
      </c>
      <c r="J73" s="16">
        <f t="shared" si="30"/>
        <v>68015.298921653637</v>
      </c>
      <c r="K73" s="16">
        <f t="shared" si="31"/>
        <v>2527.1209958765071</v>
      </c>
      <c r="L73" s="16">
        <f t="shared" si="32"/>
        <v>3579.7525748238754</v>
      </c>
      <c r="M73" s="20" t="str" cm="1">
        <f t="array" ref="M73">IF(_xlfn.SINGLE(mesclun_sched_q)&lt;2,"",IF(_xlfn.SINGLE(mesclun_sched_mc)&lt;INDEX(mesclun_sched_mc,_xlfn.SINGLE(mesclun_sched_q)),"FALL",""))</f>
        <v/>
      </c>
    </row>
    <row r="74" spans="1:13" x14ac:dyDescent="0.2">
      <c r="A74" s="19">
        <f t="shared" si="22"/>
        <v>20</v>
      </c>
      <c r="B74" s="16" cm="1">
        <f t="array" ref="B74">IF(_xlfn.SINGLE(mesclun_sched_q)=0,"",_xlfn.SINGLE(mesclun_sched_vc)-INDEX(mesclun_sched_vc,_xlfn.SINGLE(mesclun_sched_q)))</f>
        <v>2116.532823793008</v>
      </c>
      <c r="C74" s="16">
        <f t="shared" si="23"/>
        <v>2700</v>
      </c>
      <c r="D74" s="10">
        <f t="shared" si="24"/>
        <v>1153.8335085377266</v>
      </c>
      <c r="E74" s="10">
        <f t="shared" si="25"/>
        <v>720</v>
      </c>
      <c r="F74" s="10">
        <f t="shared" si="26"/>
        <v>433.83350853772663</v>
      </c>
      <c r="G74" s="16">
        <f t="shared" si="27"/>
        <v>32531.831745446641</v>
      </c>
      <c r="H74" s="16">
        <f t="shared" si="28"/>
        <v>17600</v>
      </c>
      <c r="I74" s="16">
        <f t="shared" si="29"/>
        <v>50131.831745446645</v>
      </c>
      <c r="J74" s="16">
        <f t="shared" si="30"/>
        <v>70131.831745446645</v>
      </c>
      <c r="K74" s="16">
        <f t="shared" si="31"/>
        <v>2506.5915872723322</v>
      </c>
      <c r="L74" s="16">
        <f t="shared" si="32"/>
        <v>3506.5915872723322</v>
      </c>
      <c r="M74" s="20" t="str" cm="1">
        <f t="array" ref="M74">IF(_xlfn.SINGLE(mesclun_sched_q)&lt;2,"",IF(_xlfn.SINGLE(mesclun_sched_mc)&lt;INDEX(mesclun_sched_mc,_xlfn.SINGLE(mesclun_sched_q)),"FALL",""))</f>
        <v/>
      </c>
    </row>
    <row r="75" spans="1:13" x14ac:dyDescent="0.2">
      <c r="A75" s="19">
        <f t="shared" si="22"/>
        <v>21</v>
      </c>
      <c r="B75" s="16" cm="1">
        <f t="array" ref="B75">IF(_xlfn.SINGLE(mesclun_sched_q)=0,"",_xlfn.SINGLE(mesclun_sched_vc)-INDEX(mesclun_sched_vc,_xlfn.SINGLE(mesclun_sched_q)))</f>
        <v>2144.5093789313105</v>
      </c>
      <c r="C75" s="16">
        <f t="shared" si="23"/>
        <v>2700</v>
      </c>
      <c r="D75" s="10">
        <f t="shared" si="24"/>
        <v>1226.6692487641703</v>
      </c>
      <c r="E75" s="10">
        <f t="shared" si="25"/>
        <v>720</v>
      </c>
      <c r="F75" s="10">
        <f t="shared" si="26"/>
        <v>506.66924876417033</v>
      </c>
      <c r="G75" s="16">
        <f t="shared" si="27"/>
        <v>33796.341124377956</v>
      </c>
      <c r="H75" s="16">
        <f t="shared" si="28"/>
        <v>18480</v>
      </c>
      <c r="I75" s="16">
        <f t="shared" si="29"/>
        <v>52276.341124377956</v>
      </c>
      <c r="J75" s="16">
        <f t="shared" si="30"/>
        <v>72276.341124377956</v>
      </c>
      <c r="K75" s="16">
        <f t="shared" si="31"/>
        <v>2489.3495773513314</v>
      </c>
      <c r="L75" s="16">
        <f t="shared" si="32"/>
        <v>3441.7305297322837</v>
      </c>
      <c r="M75" s="20" t="str" cm="1">
        <f t="array" ref="M75">IF(_xlfn.SINGLE(mesclun_sched_q)&lt;2,"",IF(_xlfn.SINGLE(mesclun_sched_mc)&lt;INDEX(mesclun_sched_mc,_xlfn.SINGLE(mesclun_sched_q)),"FALL",""))</f>
        <v/>
      </c>
    </row>
    <row r="76" spans="1:13" x14ac:dyDescent="0.2">
      <c r="A76" s="19">
        <f t="shared" si="22"/>
        <v>22</v>
      </c>
      <c r="B76" s="16" cm="1">
        <f t="array" ref="B76">IF(_xlfn.SINGLE(mesclun_sched_q)=0,"",_xlfn.SINGLE(mesclun_sched_vc)-INDEX(mesclun_sched_vc,_xlfn.SINGLE(mesclun_sched_q)))</f>
        <v>2172.9921396943828</v>
      </c>
      <c r="C76" s="16">
        <f t="shared" si="23"/>
        <v>2700</v>
      </c>
      <c r="D76" s="10">
        <f t="shared" si="24"/>
        <v>1301.1455960105666</v>
      </c>
      <c r="E76" s="10">
        <f t="shared" si="25"/>
        <v>720</v>
      </c>
      <c r="F76" s="10">
        <f t="shared" si="26"/>
        <v>581.14559601056658</v>
      </c>
      <c r="G76" s="16">
        <f t="shared" si="27"/>
        <v>35089.333264072338</v>
      </c>
      <c r="H76" s="16">
        <f t="shared" si="28"/>
        <v>19360</v>
      </c>
      <c r="I76" s="16">
        <f t="shared" si="29"/>
        <v>54449.333264072338</v>
      </c>
      <c r="J76" s="16">
        <f t="shared" si="30"/>
        <v>74449.333264072338</v>
      </c>
      <c r="K76" s="16">
        <f t="shared" si="31"/>
        <v>2474.9696938214697</v>
      </c>
      <c r="L76" s="16">
        <f t="shared" si="32"/>
        <v>3384.0606029123792</v>
      </c>
      <c r="M76" s="20" t="str" cm="1">
        <f t="array" ref="M76">IF(_xlfn.SINGLE(mesclun_sched_q)&lt;2,"",IF(_xlfn.SINGLE(mesclun_sched_mc)&lt;INDEX(mesclun_sched_mc,_xlfn.SINGLE(mesclun_sched_q)),"FALL",""))</f>
        <v/>
      </c>
    </row>
    <row r="77" spans="1:13" x14ac:dyDescent="0.2">
      <c r="A77" s="19">
        <f t="shared" si="22"/>
        <v>23</v>
      </c>
      <c r="B77" s="16" cm="1">
        <f t="array" ref="B77">IF(_xlfn.SINGLE(mesclun_sched_q)=0,"",_xlfn.SINGLE(mesclun_sched_vc)-INDEX(mesclun_sched_vc,_xlfn.SINGLE(mesclun_sched_q)))</f>
        <v>2201.9893898860464</v>
      </c>
      <c r="C77" s="16">
        <f t="shared" si="23"/>
        <v>2700</v>
      </c>
      <c r="D77" s="10">
        <f t="shared" si="24"/>
        <v>1377.292184868003</v>
      </c>
      <c r="E77" s="10">
        <f t="shared" si="25"/>
        <v>720</v>
      </c>
      <c r="F77" s="10">
        <f t="shared" si="26"/>
        <v>657.29218486800301</v>
      </c>
      <c r="G77" s="16">
        <f t="shared" si="27"/>
        <v>36411.322653958385</v>
      </c>
      <c r="H77" s="16">
        <f t="shared" si="28"/>
        <v>20240</v>
      </c>
      <c r="I77" s="16">
        <f t="shared" si="29"/>
        <v>56651.322653958385</v>
      </c>
      <c r="J77" s="16">
        <f t="shared" si="30"/>
        <v>76651.322653958385</v>
      </c>
      <c r="K77" s="16">
        <f t="shared" si="31"/>
        <v>2463.1009849547122</v>
      </c>
      <c r="L77" s="16">
        <f t="shared" si="32"/>
        <v>3332.6662023460167</v>
      </c>
      <c r="M77" s="20" t="str" cm="1">
        <f t="array" ref="M77">IF(_xlfn.SINGLE(mesclun_sched_q)&lt;2,"",IF(_xlfn.SINGLE(mesclun_sched_mc)&lt;INDEX(mesclun_sched_mc,_xlfn.SINGLE(mesclun_sched_q)),"FALL",""))</f>
        <v/>
      </c>
    </row>
    <row r="78" spans="1:13" x14ac:dyDescent="0.2">
      <c r="A78" s="19">
        <f t="shared" si="22"/>
        <v>24</v>
      </c>
      <c r="B78" s="16" cm="1">
        <f t="array" ref="B78">IF(_xlfn.SINGLE(mesclun_sched_q)=0,"",_xlfn.SINGLE(mesclun_sched_vc)-INDEX(mesclun_sched_vc,_xlfn.SINGLE(mesclun_sched_q)))</f>
        <v>2231.5095413106901</v>
      </c>
      <c r="C78" s="16">
        <f t="shared" si="23"/>
        <v>2700</v>
      </c>
      <c r="D78" s="10">
        <f t="shared" si="24"/>
        <v>1455.1391344474989</v>
      </c>
      <c r="E78" s="10">
        <f t="shared" si="25"/>
        <v>720</v>
      </c>
      <c r="F78" s="10">
        <f t="shared" si="26"/>
        <v>735.13913444749892</v>
      </c>
      <c r="G78" s="16">
        <f t="shared" si="27"/>
        <v>37762.832195269075</v>
      </c>
      <c r="H78" s="16">
        <f t="shared" si="28"/>
        <v>21120</v>
      </c>
      <c r="I78" s="16">
        <f t="shared" si="29"/>
        <v>58882.832195269075</v>
      </c>
      <c r="J78" s="16">
        <f t="shared" si="30"/>
        <v>78882.832195269075</v>
      </c>
      <c r="K78" s="16">
        <f t="shared" si="31"/>
        <v>2453.4513414695448</v>
      </c>
      <c r="L78" s="16">
        <f t="shared" si="32"/>
        <v>3286.7846748028783</v>
      </c>
      <c r="M78" s="20" t="str" cm="1">
        <f t="array" ref="M78">IF(_xlfn.SINGLE(mesclun_sched_q)&lt;2,"",IF(_xlfn.SINGLE(mesclun_sched_mc)&lt;INDEX(mesclun_sched_mc,_xlfn.SINGLE(mesclun_sched_q)),"FALL",""))</f>
        <v/>
      </c>
    </row>
    <row r="79" spans="1:13" x14ac:dyDescent="0.2">
      <c r="A79" s="19">
        <f t="shared" si="22"/>
        <v>25</v>
      </c>
      <c r="B79" s="16" cm="1">
        <f t="array" ref="B79">IF(_xlfn.SINGLE(mesclun_sched_q)=0,"",_xlfn.SINGLE(mesclun_sched_vc)-INDEX(mesclun_sched_vc,_xlfn.SINGLE(mesclun_sched_q)))</f>
        <v>2261.5611356787776</v>
      </c>
      <c r="C79" s="16">
        <f t="shared" si="23"/>
        <v>2700</v>
      </c>
      <c r="D79" s="10">
        <f t="shared" si="24"/>
        <v>1534.7170558625965</v>
      </c>
      <c r="E79" s="10">
        <f t="shared" si="25"/>
        <v>720</v>
      </c>
      <c r="F79" s="10">
        <f t="shared" si="26"/>
        <v>814.71705586259645</v>
      </c>
      <c r="G79" s="16">
        <f t="shared" si="27"/>
        <v>39144.393330947853</v>
      </c>
      <c r="H79" s="16">
        <f t="shared" si="28"/>
        <v>22000</v>
      </c>
      <c r="I79" s="16">
        <f t="shared" si="29"/>
        <v>61144.393330947853</v>
      </c>
      <c r="J79" s="16">
        <f t="shared" si="30"/>
        <v>81144.393330947845</v>
      </c>
      <c r="K79" s="16">
        <f t="shared" si="31"/>
        <v>2445.7757332379142</v>
      </c>
      <c r="L79" s="16">
        <f t="shared" si="32"/>
        <v>3245.7757332379138</v>
      </c>
      <c r="M79" s="20" t="str" cm="1">
        <f t="array" ref="M79">IF(_xlfn.SINGLE(mesclun_sched_q)&lt;2,"",IF(_xlfn.SINGLE(mesclun_sched_mc)&lt;INDEX(mesclun_sched_mc,_xlfn.SINGLE(mesclun_sched_q)),"FALL",""))</f>
        <v/>
      </c>
    </row>
    <row r="80" spans="1:13" x14ac:dyDescent="0.2">
      <c r="A80" s="19">
        <f t="shared" si="22"/>
        <v>26</v>
      </c>
      <c r="B80" s="16" cm="1">
        <f t="array" ref="B80">IF(_xlfn.SINGLE(mesclun_sched_q)=0,"",_xlfn.SINGLE(mesclun_sched_vc)-INDEX(mesclun_sched_vc,_xlfn.SINGLE(mesclun_sched_q)))</f>
        <v>2292.1528465402444</v>
      </c>
      <c r="C80" s="16">
        <f t="shared" si="23"/>
        <v>2700</v>
      </c>
      <c r="D80" s="10">
        <f t="shared" si="24"/>
        <v>1616.0570598233144</v>
      </c>
      <c r="E80" s="10">
        <f t="shared" si="25"/>
        <v>720</v>
      </c>
      <c r="F80" s="10">
        <f t="shared" si="26"/>
        <v>896.05705982331438</v>
      </c>
      <c r="G80" s="16">
        <f t="shared" si="27"/>
        <v>40556.546177488097</v>
      </c>
      <c r="H80" s="16">
        <f t="shared" si="28"/>
        <v>22880</v>
      </c>
      <c r="I80" s="16">
        <f t="shared" si="29"/>
        <v>63436.546177488097</v>
      </c>
      <c r="J80" s="16">
        <f t="shared" si="30"/>
        <v>83436.546177488097</v>
      </c>
      <c r="K80" s="16">
        <f t="shared" si="31"/>
        <v>2439.8671606726193</v>
      </c>
      <c r="L80" s="16">
        <f t="shared" si="32"/>
        <v>3209.0979299033884</v>
      </c>
      <c r="M80" s="20" t="str" cm="1">
        <f t="array" ref="M80">IF(_xlfn.SINGLE(mesclun_sched_q)&lt;2,"",IF(_xlfn.SINGLE(mesclun_sched_mc)&lt;INDEX(mesclun_sched_mc,_xlfn.SINGLE(mesclun_sched_q)),"FALL",""))</f>
        <v/>
      </c>
    </row>
    <row r="81" spans="1:13" x14ac:dyDescent="0.2">
      <c r="A81" s="19">
        <f t="shared" si="22"/>
        <v>27</v>
      </c>
      <c r="B81" s="16" cm="1">
        <f t="array" ref="B81">IF(_xlfn.SINGLE(mesclun_sched_q)=0,"",_xlfn.SINGLE(mesclun_sched_vc)-INDEX(mesclun_sched_vc,_xlfn.SINGLE(mesclun_sched_q)))</f>
        <v>2323.2934812457679</v>
      </c>
      <c r="C81" s="16">
        <f t="shared" si="23"/>
        <v>2700</v>
      </c>
      <c r="D81" s="10">
        <f t="shared" si="24"/>
        <v>1699.1907643430709</v>
      </c>
      <c r="E81" s="10">
        <f t="shared" si="25"/>
        <v>720</v>
      </c>
      <c r="F81" s="10">
        <f t="shared" si="26"/>
        <v>979.1907643430709</v>
      </c>
      <c r="G81" s="16">
        <f t="shared" si="27"/>
        <v>41999.839658733865</v>
      </c>
      <c r="H81" s="16">
        <f t="shared" si="28"/>
        <v>23760</v>
      </c>
      <c r="I81" s="16">
        <f t="shared" si="29"/>
        <v>65759.839658733865</v>
      </c>
      <c r="J81" s="16">
        <f t="shared" si="30"/>
        <v>85759.839658733865</v>
      </c>
      <c r="K81" s="16">
        <f t="shared" si="31"/>
        <v>2435.549616990143</v>
      </c>
      <c r="L81" s="16">
        <f t="shared" si="32"/>
        <v>3176.2903577308839</v>
      </c>
      <c r="M81" s="20" t="str" cm="1">
        <f t="array" ref="M81">IF(_xlfn.SINGLE(mesclun_sched_q)&lt;2,"",IF(_xlfn.SINGLE(mesclun_sched_mc)&lt;INDEX(mesclun_sched_mc,_xlfn.SINGLE(mesclun_sched_q)),"FALL",""))</f>
        <v/>
      </c>
    </row>
    <row r="82" spans="1:13" x14ac:dyDescent="0.2">
      <c r="A82" s="19">
        <f t="shared" si="22"/>
        <v>28</v>
      </c>
      <c r="B82" s="16" cm="1">
        <f t="array" ref="B82">IF(_xlfn.SINGLE(mesclun_sched_q)=0,"",_xlfn.SINGLE(mesclun_sched_vc)-INDEX(mesclun_sched_vc,_xlfn.SINGLE(mesclun_sched_q)))</f>
        <v>2354.9919829366991</v>
      </c>
      <c r="C82" s="16">
        <f t="shared" si="23"/>
        <v>2700</v>
      </c>
      <c r="D82" s="10">
        <f t="shared" si="24"/>
        <v>1784.1503025602246</v>
      </c>
      <c r="E82" s="10">
        <f t="shared" si="25"/>
        <v>720</v>
      </c>
      <c r="F82" s="10">
        <f t="shared" si="26"/>
        <v>1064.1503025602246</v>
      </c>
      <c r="G82" s="16">
        <f t="shared" si="27"/>
        <v>43474.831641670564</v>
      </c>
      <c r="H82" s="16">
        <f t="shared" si="28"/>
        <v>24640</v>
      </c>
      <c r="I82" s="16">
        <f t="shared" si="29"/>
        <v>68114.831641670564</v>
      </c>
      <c r="J82" s="16">
        <f t="shared" si="30"/>
        <v>88114.831641670564</v>
      </c>
      <c r="K82" s="16">
        <f t="shared" si="31"/>
        <v>2432.6725586310918</v>
      </c>
      <c r="L82" s="16">
        <f t="shared" si="32"/>
        <v>3146.958272916806</v>
      </c>
      <c r="M82" s="20" t="str" cm="1">
        <f t="array" ref="M82">IF(_xlfn.SINGLE(mesclun_sched_q)&lt;2,"",IF(_xlfn.SINGLE(mesclun_sched_mc)&lt;INDEX(mesclun_sched_mc,_xlfn.SINGLE(mesclun_sched_q)),"FALL",""))</f>
        <v/>
      </c>
    </row>
    <row r="83" spans="1:13" x14ac:dyDescent="0.2">
      <c r="A83" s="19">
        <f t="shared" si="22"/>
        <v>29</v>
      </c>
      <c r="B83" s="16" cm="1">
        <f t="array" ref="B83">IF(_xlfn.SINGLE(mesclun_sched_q)=0,"",_xlfn.SINGLE(mesclun_sched_vc)-INDEX(mesclun_sched_vc,_xlfn.SINGLE(mesclun_sched_q)))</f>
        <v>2387.2574325634341</v>
      </c>
      <c r="C83" s="16">
        <f t="shared" si="23"/>
        <v>2700</v>
      </c>
      <c r="D83" s="10">
        <f t="shared" si="24"/>
        <v>1870.9683306758782</v>
      </c>
      <c r="E83" s="10">
        <f t="shared" si="25"/>
        <v>720</v>
      </c>
      <c r="F83" s="10">
        <f t="shared" si="26"/>
        <v>1150.9683306758782</v>
      </c>
      <c r="G83" s="16">
        <f t="shared" si="27"/>
        <v>44982.089074233998</v>
      </c>
      <c r="H83" s="16">
        <f t="shared" si="28"/>
        <v>25520</v>
      </c>
      <c r="I83" s="16">
        <f t="shared" si="29"/>
        <v>70502.089074233998</v>
      </c>
      <c r="J83" s="16">
        <f t="shared" si="30"/>
        <v>90502.089074233998</v>
      </c>
      <c r="K83" s="16">
        <f t="shared" si="31"/>
        <v>2431.1065198011725</v>
      </c>
      <c r="L83" s="16">
        <f t="shared" si="32"/>
        <v>3120.7616922149655</v>
      </c>
      <c r="M83" s="20" t="str" cm="1">
        <f t="array" ref="M83">IF(_xlfn.SINGLE(mesclun_sched_q)&lt;2,"",IF(_xlfn.SINGLE(mesclun_sched_mc)&lt;INDEX(mesclun_sched_mc,_xlfn.SINGLE(mesclun_sched_q)),"FALL",""))</f>
        <v/>
      </c>
    </row>
    <row r="84" spans="1:13" x14ac:dyDescent="0.2">
      <c r="A84" s="19">
        <f t="shared" si="22"/>
        <v>30</v>
      </c>
      <c r="B84" s="16" cm="1">
        <f t="array" ref="B84">IF(_xlfn.SINGLE(mesclun_sched_q)=0,"",_xlfn.SINGLE(mesclun_sched_vc)-INDEX(mesclun_sched_vc,_xlfn.SINGLE(mesclun_sched_q)))</f>
        <v>2420.0990509335097</v>
      </c>
      <c r="C84" s="16">
        <f t="shared" si="23"/>
        <v>2700</v>
      </c>
      <c r="D84" s="10">
        <f t="shared" si="24"/>
        <v>1959.6780360096488</v>
      </c>
      <c r="E84" s="10">
        <f t="shared" si="25"/>
        <v>720</v>
      </c>
      <c r="F84" s="10">
        <f t="shared" si="26"/>
        <v>1239.6780360096488</v>
      </c>
      <c r="G84" s="16">
        <f t="shared" si="27"/>
        <v>46522.188125167515</v>
      </c>
      <c r="H84" s="16">
        <f t="shared" si="28"/>
        <v>26400</v>
      </c>
      <c r="I84" s="16">
        <f t="shared" si="29"/>
        <v>72922.188125167508</v>
      </c>
      <c r="J84" s="16">
        <f t="shared" si="30"/>
        <v>92922.188125167508</v>
      </c>
      <c r="K84" s="16">
        <f t="shared" si="31"/>
        <v>2430.7396041722504</v>
      </c>
      <c r="L84" s="16">
        <f t="shared" si="32"/>
        <v>3097.406270838917</v>
      </c>
      <c r="M84" s="20" t="str" cm="1">
        <f t="array" ref="M84">IF(_xlfn.SINGLE(mesclun_sched_q)&lt;2,"",IF(_xlfn.SINGLE(mesclun_sched_mc)&lt;INDEX(mesclun_sched_mc,_xlfn.SINGLE(mesclun_sched_q)),"FALL",""))</f>
        <v/>
      </c>
    </row>
    <row r="87" spans="1:13" x14ac:dyDescent="0.2">
      <c r="A87" s="4" t="s">
        <v>79</v>
      </c>
      <c r="B87" s="4"/>
      <c r="C87" s="4"/>
      <c r="D87" s="4"/>
      <c r="E87" s="4"/>
      <c r="F87" s="4"/>
      <c r="G87" s="4"/>
    </row>
    <row r="88" spans="1:13" ht="34" x14ac:dyDescent="0.2">
      <c r="A88" s="21" t="s">
        <v>80</v>
      </c>
      <c r="B88" s="21" t="s">
        <v>65</v>
      </c>
      <c r="C88" s="21" t="s">
        <v>81</v>
      </c>
      <c r="D88" s="21" t="s">
        <v>82</v>
      </c>
      <c r="E88" s="21" t="s">
        <v>83</v>
      </c>
      <c r="F88" s="21" t="s">
        <v>84</v>
      </c>
      <c r="G88" s="21" t="s">
        <v>85</v>
      </c>
    </row>
    <row r="89" spans="1:13" x14ac:dyDescent="0.2">
      <c r="A89" t="s">
        <v>43</v>
      </c>
      <c r="B89" s="22">
        <f>tomato_crop_price</f>
        <v>8800</v>
      </c>
      <c r="C89" s="24" cm="1">
        <f t="array" ref="C89">_xlfn.LET(_xlpm.bad,IFERROR(MATCH(TRUE,tomato_mc_pos&gt;tomato_crop_price,0),0),IF(_xlpm.bad=0,tomato_crop_cap,_xlpm.bad-1))</f>
        <v>10</v>
      </c>
      <c r="D89" s="23" cm="1">
        <f t="array" ref="D89">IF(tomato_crossing=0,"",INDEX(tomato_sched_mc,tomato_crossing+1))</f>
        <v>8248.586534375012</v>
      </c>
      <c r="E89" s="23" cm="1">
        <f t="array" ref="E89">IF(tomato_crossing&gt;=tomato_crop_cap,"",INDEX(tomato_sched_mc,tomato_crossing+2))</f>
        <v>9390.7174472031256</v>
      </c>
      <c r="F89">
        <f>tomato_crop_cap</f>
        <v>20</v>
      </c>
      <c r="G89" t="str" cm="1">
        <f t="array" ref="G89">_xlfn.TEXTJOIN(", ",TRUE,IF(tomato_sched_fall="FALL",tomato_sched_q,""))</f>
        <v>6</v>
      </c>
    </row>
    <row r="90" spans="1:13" x14ac:dyDescent="0.2">
      <c r="A90" t="s">
        <v>44</v>
      </c>
      <c r="B90" s="22">
        <f>carrot_crop_price</f>
        <v>2094</v>
      </c>
      <c r="C90" s="24" cm="1">
        <f t="array" ref="C90">_xlfn.LET(_xlpm.bad,IFERROR(MATCH(TRUE,carrot_mc_pos&gt;carrot_crop_price,0),0),IF(_xlpm.bad=0,carrot_crop_cap,_xlpm.bad-1))</f>
        <v>10</v>
      </c>
      <c r="D90" s="23" cm="1">
        <f t="array" ref="D90">IF(carrot_crossing=0,"",INDEX(carrot_sched_mc,carrot_crossing+1))</f>
        <v>2066.1236587860258</v>
      </c>
      <c r="E90" s="23" cm="1">
        <f t="array" ref="E90">IF(carrot_crossing&gt;=carrot_crop_cap,"",INDEX(carrot_sched_mc,carrot_crossing+2))</f>
        <v>2140.1122852607878</v>
      </c>
      <c r="F90">
        <f>carrot_crop_cap</f>
        <v>20</v>
      </c>
      <c r="G90" t="str" cm="1">
        <f t="array" ref="G90">_xlfn.TEXTJOIN(", ",TRUE,IF(carrot_sched_fall="FALL",carrot_sched_q,""))</f>
        <v>17, 18</v>
      </c>
    </row>
    <row r="91" spans="1:13" x14ac:dyDescent="0.2">
      <c r="A91" t="s">
        <v>45</v>
      </c>
      <c r="B91" s="22">
        <f>mesclun_crop_price</f>
        <v>2700</v>
      </c>
      <c r="C91" s="24" cm="1">
        <f t="array" ref="C91">_xlfn.LET(_xlpm.bad,IFERROR(MATCH(TRUE,mesclun_mc_pos&gt;mesclun_crop_price,0),0),IF(_xlpm.bad=0,mesclun_crop_cap,_xlpm.bad-1))</f>
        <v>6</v>
      </c>
      <c r="D91" s="23" cm="1">
        <f t="array" ref="D91">IF(mesclun_crossing=0,"",INDEX(mesclun_sched_mc,mesclun_crossing+1))</f>
        <v>2667.3254924178127</v>
      </c>
      <c r="E91" s="23" cm="1">
        <f t="array" ref="E91">IF(mesclun_crossing&gt;=mesclun_crop_cap,"",INDEX(mesclun_sched_mc,mesclun_crossing+2))</f>
        <v>2710.7097013180683</v>
      </c>
      <c r="F91">
        <f>mesclun_crop_cap</f>
        <v>30</v>
      </c>
      <c r="G91" t="str" cm="1">
        <f t="array" ref="G91">_xlfn.TEXTJOIN(", ",TRUE,IF(mesclun_sched_fall="FALL",mesclun_sched_q,""))</f>
        <v>14, 15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AD9E-5331-3847-AEF8-BCBE9020190B}">
  <dimension ref="A1:L39"/>
  <sheetViews>
    <sheetView tabSelected="1" workbookViewId="0">
      <selection activeCell="N7" sqref="N7"/>
    </sheetView>
  </sheetViews>
  <sheetFormatPr baseColWidth="10" defaultRowHeight="16" x14ac:dyDescent="0.2"/>
  <cols>
    <col min="1" max="1" width="38.33203125" customWidth="1"/>
    <col min="2" max="5" width="15.83203125" customWidth="1"/>
    <col min="6" max="6" width="3.33203125" customWidth="1"/>
    <col min="7" max="7" width="35" customWidth="1"/>
    <col min="8" max="11" width="13.33203125" customWidth="1"/>
    <col min="12" max="12" width="25" customWidth="1"/>
  </cols>
  <sheetData>
    <row r="1" spans="1:12" ht="19" x14ac:dyDescent="0.25">
      <c r="A1" s="2" t="s">
        <v>86</v>
      </c>
    </row>
    <row r="2" spans="1:12" x14ac:dyDescent="0.2">
      <c r="A2" s="3" t="s">
        <v>87</v>
      </c>
    </row>
    <row r="4" spans="1:12" x14ac:dyDescent="0.2">
      <c r="A4" s="4" t="s">
        <v>88</v>
      </c>
      <c r="B4" s="4"/>
      <c r="C4" s="4"/>
      <c r="D4" s="4"/>
      <c r="E4" s="4"/>
      <c r="G4" s="4" t="s">
        <v>123</v>
      </c>
      <c r="H4" s="4"/>
      <c r="I4" s="4"/>
      <c r="J4" s="4"/>
      <c r="K4" s="4"/>
      <c r="L4" s="4"/>
    </row>
    <row r="5" spans="1:12" ht="34" x14ac:dyDescent="0.2">
      <c r="A5" t="s">
        <v>89</v>
      </c>
      <c r="B5" s="25">
        <v>10</v>
      </c>
      <c r="C5" t="s">
        <v>90</v>
      </c>
      <c r="G5" s="21" t="s">
        <v>124</v>
      </c>
      <c r="H5" s="21" t="s">
        <v>125</v>
      </c>
      <c r="I5" s="21" t="s">
        <v>126</v>
      </c>
      <c r="J5" s="21" t="s">
        <v>127</v>
      </c>
      <c r="K5" s="21" t="s">
        <v>128</v>
      </c>
      <c r="L5" s="21" t="s">
        <v>129</v>
      </c>
    </row>
    <row r="6" spans="1:12" x14ac:dyDescent="0.2">
      <c r="A6" t="s">
        <v>91</v>
      </c>
      <c r="B6" s="25">
        <v>20</v>
      </c>
      <c r="C6" t="s">
        <v>90</v>
      </c>
      <c r="G6" t="s">
        <v>130</v>
      </c>
      <c r="H6" s="31">
        <f>beds_total</f>
        <v>64</v>
      </c>
      <c r="I6" s="31">
        <f>mix_beds_total</f>
        <v>60</v>
      </c>
      <c r="J6" s="32" t="str">
        <f>IF(mix_beds_total&gt;=beds_total-0.0001,"BINDING","SLACK")</f>
        <v>SLACK</v>
      </c>
      <c r="K6" s="32" t="str">
        <f>IF(mix_beds_total&lt;=beds_total+0.0001,"PASS","FAIL")</f>
        <v>PASS</v>
      </c>
      <c r="L6" s="33">
        <v>0</v>
      </c>
    </row>
    <row r="7" spans="1:12" x14ac:dyDescent="0.2">
      <c r="A7" t="s">
        <v>92</v>
      </c>
      <c r="B7" s="25">
        <v>30</v>
      </c>
      <c r="C7" t="s">
        <v>90</v>
      </c>
      <c r="G7" t="s">
        <v>131</v>
      </c>
      <c r="H7" s="31">
        <f>tomato_crop_cap</f>
        <v>20</v>
      </c>
      <c r="I7" s="31">
        <f>tomato_crop_beds</f>
        <v>10</v>
      </c>
      <c r="J7" s="32" t="str">
        <f>IF(tomato_crop_beds&gt;=tomato_crop_cap-0.0001,"BINDING","SLACK")</f>
        <v>SLACK</v>
      </c>
      <c r="K7" s="32" t="str">
        <f>IF(tomato_crop_beds&lt;=tomato_crop_cap+0.0001,"PASS","FAIL")</f>
        <v>PASS</v>
      </c>
      <c r="L7" s="33">
        <v>0</v>
      </c>
    </row>
    <row r="8" spans="1:12" x14ac:dyDescent="0.2">
      <c r="A8" t="s">
        <v>93</v>
      </c>
      <c r="B8" s="24">
        <f>SUM(mix_beds_row)</f>
        <v>60</v>
      </c>
      <c r="C8" t="s">
        <v>13</v>
      </c>
      <c r="G8" t="s">
        <v>132</v>
      </c>
      <c r="H8" s="31">
        <f>carrot_crop_cap</f>
        <v>20</v>
      </c>
      <c r="I8" s="31">
        <f>carrot_crop_beds</f>
        <v>20</v>
      </c>
      <c r="J8" s="32" t="str">
        <f>IF(carrot_crop_beds&gt;=carrot_crop_cap-0.0001,"BINDING","SLACK")</f>
        <v>BINDING</v>
      </c>
      <c r="K8" s="32" t="str">
        <f>IF(carrot_crop_beds&lt;=carrot_crop_cap+0.0001,"PASS","FAIL")</f>
        <v>PASS</v>
      </c>
      <c r="L8" s="33">
        <v>352.5</v>
      </c>
    </row>
    <row r="9" spans="1:12" x14ac:dyDescent="0.2">
      <c r="G9" t="s">
        <v>133</v>
      </c>
      <c r="H9" s="31">
        <f>mesclun_crop_cap</f>
        <v>30</v>
      </c>
      <c r="I9" s="31">
        <f>mesclun_crop_beds</f>
        <v>30</v>
      </c>
      <c r="J9" s="32" t="str">
        <f>IF(mesclun_crop_beds&gt;=mesclun_crop_cap-0.0001,"BINDING","SLACK")</f>
        <v>BINDING</v>
      </c>
      <c r="K9" s="32" t="str">
        <f>IF(mesclun_crop_beds&lt;=mesclun_crop_cap+0.0001,"PASS","FAIL")</f>
        <v>PASS</v>
      </c>
      <c r="L9" s="33">
        <v>246.48</v>
      </c>
    </row>
    <row r="10" spans="1:12" x14ac:dyDescent="0.2">
      <c r="A10" s="4" t="s">
        <v>94</v>
      </c>
      <c r="B10" s="4"/>
      <c r="C10" s="4"/>
      <c r="D10" s="4"/>
      <c r="E10" s="4"/>
      <c r="G10" t="s">
        <v>134</v>
      </c>
      <c r="H10" s="31">
        <f>temp_max</f>
        <v>4</v>
      </c>
      <c r="I10" s="31">
        <f>temp_workers_needed</f>
        <v>3.1647334126901998</v>
      </c>
      <c r="J10" s="32" t="str">
        <f>IF(temp_workers_needed&gt;=temp_max-0.0001,"BINDING","SLACK")</f>
        <v>SLACK</v>
      </c>
      <c r="K10" s="32" t="str">
        <f>IF(temp_workers_needed&lt;=temp_max+0.0001,"PASS","FAIL")</f>
        <v>PASS</v>
      </c>
      <c r="L10" t="s">
        <v>10</v>
      </c>
    </row>
    <row r="11" spans="1:12" x14ac:dyDescent="0.2">
      <c r="A11" t="s">
        <v>95</v>
      </c>
      <c r="B11" s="26">
        <f>tomato_crop_beds*tomato_crop_hrswk*season_weeks*(1+tomato_crop_dim)^tomato_crop_beds</f>
        <v>2334.3682140900019</v>
      </c>
      <c r="C11" t="s">
        <v>23</v>
      </c>
    </row>
    <row r="12" spans="1:12" x14ac:dyDescent="0.2">
      <c r="A12" t="s">
        <v>96</v>
      </c>
      <c r="B12" s="26">
        <f>carrot_crop_beds*carrot_crop_hrswk*season_weeks*(1+carrot_crop_dim)^carrot_crop_beds</f>
        <v>983.16986417423732</v>
      </c>
      <c r="C12" t="s">
        <v>23</v>
      </c>
      <c r="G12" s="3" t="s">
        <v>135</v>
      </c>
    </row>
    <row r="13" spans="1:12" x14ac:dyDescent="0.2">
      <c r="A13" t="s">
        <v>97</v>
      </c>
      <c r="B13" s="26">
        <f>mesclun_crop_beds*mesclun_crop_hrswk*season_weeks*(1+mesclun_crop_dim)^mesclun_crop_beds</f>
        <v>1959.6780360096488</v>
      </c>
      <c r="C13" t="s">
        <v>23</v>
      </c>
    </row>
    <row r="14" spans="1:12" x14ac:dyDescent="0.2">
      <c r="A14" t="s">
        <v>98</v>
      </c>
      <c r="B14" s="26">
        <f>mix_hrs_tomato+mix_hrs_carrot+mix_hrs_mesclun</f>
        <v>5277.2161142738878</v>
      </c>
      <c r="C14" t="s">
        <v>23</v>
      </c>
    </row>
    <row r="15" spans="1:12" x14ac:dyDescent="0.2">
      <c r="A15" t="s">
        <v>99</v>
      </c>
      <c r="B15" s="26">
        <f>MIN(mix_hrs_total,farmer_hrs_field)</f>
        <v>720</v>
      </c>
      <c r="C15" t="s">
        <v>100</v>
      </c>
    </row>
    <row r="16" spans="1:12" x14ac:dyDescent="0.2">
      <c r="A16" t="s">
        <v>101</v>
      </c>
      <c r="B16" s="26">
        <f>mix_hrs_total-perm_hrs_used</f>
        <v>4557.2161142738878</v>
      </c>
      <c r="C16" t="s">
        <v>23</v>
      </c>
    </row>
    <row r="17" spans="1:5" x14ac:dyDescent="0.2">
      <c r="A17" t="s">
        <v>102</v>
      </c>
      <c r="B17" s="27">
        <f>temp_hrs_used/temp_hrs_each</f>
        <v>3.1647334126901998</v>
      </c>
      <c r="C17" t="s">
        <v>103</v>
      </c>
    </row>
    <row r="18" spans="1:5" x14ac:dyDescent="0.2">
      <c r="A18" t="s">
        <v>104</v>
      </c>
      <c r="B18" s="23">
        <f>perm_hrs_used*farmer_wage+temp_hrs_used*temp_wage</f>
        <v>104118.335317255</v>
      </c>
      <c r="C18" t="s">
        <v>15</v>
      </c>
    </row>
    <row r="19" spans="1:5" x14ac:dyDescent="0.2">
      <c r="A19" t="s">
        <v>105</v>
      </c>
      <c r="B19" s="28">
        <f>IF(mix_hrs_total=0,0,labor_cost_total/mix_hrs_total)</f>
        <v>19.729784239010844</v>
      </c>
      <c r="C19" t="s">
        <v>106</v>
      </c>
    </row>
    <row r="21" spans="1:5" x14ac:dyDescent="0.2">
      <c r="A21" s="4" t="s">
        <v>107</v>
      </c>
      <c r="B21" s="4"/>
      <c r="C21" s="4"/>
      <c r="D21" s="4"/>
      <c r="E21" s="4"/>
    </row>
    <row r="22" spans="1:5" ht="17" x14ac:dyDescent="0.2">
      <c r="A22" s="21" t="s">
        <v>108</v>
      </c>
      <c r="B22" s="21" t="s">
        <v>43</v>
      </c>
      <c r="C22" s="21" t="s">
        <v>44</v>
      </c>
      <c r="D22" s="21" t="s">
        <v>45</v>
      </c>
      <c r="E22" s="21" t="s">
        <v>109</v>
      </c>
    </row>
    <row r="23" spans="1:5" x14ac:dyDescent="0.2">
      <c r="A23" t="s">
        <v>110</v>
      </c>
      <c r="B23" s="24">
        <f>tomato_crop_beds</f>
        <v>10</v>
      </c>
      <c r="C23" s="24">
        <f>carrot_crop_beds</f>
        <v>20</v>
      </c>
      <c r="D23" s="24">
        <f>mesclun_crop_beds</f>
        <v>30</v>
      </c>
      <c r="E23" s="24">
        <f>SUM(mix_beds_row)</f>
        <v>60</v>
      </c>
    </row>
    <row r="24" spans="1:5" x14ac:dyDescent="0.2">
      <c r="A24" t="s">
        <v>111</v>
      </c>
      <c r="B24" s="26">
        <f>mix_hrs_tomato</f>
        <v>2334.3682140900019</v>
      </c>
      <c r="C24" s="26">
        <f>mix_hrs_carrot</f>
        <v>983.16986417423732</v>
      </c>
      <c r="D24" s="26">
        <f>mix_hrs_mesclun</f>
        <v>1959.6780360096488</v>
      </c>
      <c r="E24" s="26">
        <f>SUM(mix_hrs_row)</f>
        <v>5277.2161142738878</v>
      </c>
    </row>
    <row r="25" spans="1:5" x14ac:dyDescent="0.2">
      <c r="A25" t="s">
        <v>112</v>
      </c>
      <c r="B25" s="23">
        <f>tomato_crop_beds*tomato_crop_price</f>
        <v>88000</v>
      </c>
      <c r="C25" s="23">
        <f>carrot_crop_beds*carrot_crop_price</f>
        <v>41880</v>
      </c>
      <c r="D25" s="23">
        <f>mesclun_crop_beds*mesclun_crop_price</f>
        <v>81000</v>
      </c>
      <c r="E25" s="23">
        <f>SUM(mix_revenue_row)</f>
        <v>210880</v>
      </c>
    </row>
    <row r="26" spans="1:5" x14ac:dyDescent="0.2">
      <c r="A26" t="s">
        <v>113</v>
      </c>
      <c r="B26" s="23">
        <f>tomato_crop_beds*tomato_crop_fert</f>
        <v>8800</v>
      </c>
      <c r="C26" s="23">
        <f>carrot_crop_beds*carrot_crop_fert</f>
        <v>8800</v>
      </c>
      <c r="D26" s="23">
        <f>mesclun_crop_beds*mesclun_crop_fert</f>
        <v>26400</v>
      </c>
      <c r="E26" s="23">
        <f>SUM(mix_fert_row)</f>
        <v>44000</v>
      </c>
    </row>
    <row r="27" spans="1:5" x14ac:dyDescent="0.2">
      <c r="A27" t="s">
        <v>114</v>
      </c>
      <c r="B27" s="23">
        <f>mix_hrs_tomato*labor_rate_blended</f>
        <v>46056.581198400811</v>
      </c>
      <c r="C27" s="23">
        <f>mix_hrs_carrot*labor_rate_blended</f>
        <v>19397.7292904553</v>
      </c>
      <c r="D27" s="23">
        <f>mix_hrs_mesclun*labor_rate_blended</f>
        <v>38664.024828398891</v>
      </c>
      <c r="E27" s="23">
        <f>SUM(mix_labor_row)</f>
        <v>104118.335317255</v>
      </c>
    </row>
    <row r="28" spans="1:5" x14ac:dyDescent="0.2">
      <c r="A28" t="s">
        <v>115</v>
      </c>
      <c r="B28" s="23">
        <f>INDEX(mix_revenue_row,1)-INDEX(mix_fert_row,1)-INDEX(mix_labor_row,1)</f>
        <v>33143.418801599189</v>
      </c>
      <c r="C28" s="23">
        <f>INDEX(mix_revenue_row,2)-INDEX(mix_fert_row,2)-INDEX(mix_labor_row,2)</f>
        <v>13682.2707095447</v>
      </c>
      <c r="D28" s="23">
        <f>INDEX(mix_revenue_row,3)-INDEX(mix_fert_row,3)-INDEX(mix_labor_row,3)</f>
        <v>15935.975171601109</v>
      </c>
      <c r="E28" s="23">
        <f>SUM(mix_contrib_row)</f>
        <v>62761.664682745002</v>
      </c>
    </row>
    <row r="30" spans="1:5" x14ac:dyDescent="0.2">
      <c r="A30" s="4" t="s">
        <v>116</v>
      </c>
      <c r="B30" s="4"/>
      <c r="C30" s="4"/>
      <c r="D30" s="4"/>
      <c r="E30" s="4"/>
    </row>
    <row r="31" spans="1:5" x14ac:dyDescent="0.2">
      <c r="A31" t="s">
        <v>117</v>
      </c>
      <c r="B31" s="23">
        <f>revenue_total</f>
        <v>210880</v>
      </c>
    </row>
    <row r="32" spans="1:5" x14ac:dyDescent="0.2">
      <c r="A32" t="s">
        <v>118</v>
      </c>
      <c r="B32" s="23">
        <f>fert_total</f>
        <v>44000</v>
      </c>
    </row>
    <row r="33" spans="1:5" x14ac:dyDescent="0.2">
      <c r="A33" t="s">
        <v>104</v>
      </c>
      <c r="B33" s="23">
        <f>labor_cost_total</f>
        <v>104118.335317255</v>
      </c>
    </row>
    <row r="34" spans="1:5" x14ac:dyDescent="0.2">
      <c r="A34" t="s">
        <v>14</v>
      </c>
      <c r="B34" s="23">
        <f>fixed_costs</f>
        <v>20000</v>
      </c>
    </row>
    <row r="35" spans="1:5" x14ac:dyDescent="0.2">
      <c r="A35" s="29" t="s">
        <v>119</v>
      </c>
      <c r="B35" s="30">
        <f>revenue_total-fert_total-labor_cost_total-fixed_costs</f>
        <v>42761.664682745002</v>
      </c>
    </row>
    <row r="37" spans="1:5" x14ac:dyDescent="0.2">
      <c r="A37" s="4" t="s">
        <v>120</v>
      </c>
      <c r="B37" s="4"/>
      <c r="C37" s="4"/>
      <c r="D37" s="4"/>
      <c r="E37" s="4"/>
    </row>
    <row r="38" spans="1:5" x14ac:dyDescent="0.2">
      <c r="A38" t="s">
        <v>121</v>
      </c>
      <c r="B38" s="23">
        <f>mix_labor_alloc_total-labor_cost_total</f>
        <v>0</v>
      </c>
      <c r="C38" s="32" t="str">
        <f>IF(ABS(check_labor_alloc)&lt;0.0001,"PASS","FAIL")</f>
        <v>PASS</v>
      </c>
    </row>
    <row r="39" spans="1:5" x14ac:dyDescent="0.2">
      <c r="A39" t="s">
        <v>122</v>
      </c>
      <c r="B39" s="23">
        <f>check_farmer_wage</f>
        <v>25000</v>
      </c>
      <c r="C39" s="32" t="str">
        <f>IF(ABS(check_farmer_wage-farmer_salary/2)&lt;0.0001,"PASS","FAIL")</f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8183-5E03-C04C-BB36-97464A0ABAFF}">
  <dimension ref="A1:A2"/>
  <sheetViews>
    <sheetView workbookViewId="0"/>
  </sheetViews>
  <sheetFormatPr baseColWidth="10" defaultRowHeight="16" x14ac:dyDescent="0.2"/>
  <sheetData>
    <row r="1" spans="1:1" ht="19" x14ac:dyDescent="0.25">
      <c r="A1" s="2" t="s">
        <v>136</v>
      </c>
    </row>
    <row r="2" spans="1:1" x14ac:dyDescent="0.2">
      <c r="A2" s="3" t="s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103</vt:i4>
      </vt:variant>
    </vt:vector>
  </HeadingPairs>
  <TitlesOfParts>
    <vt:vector size="108" baseType="lpstr">
      <vt:lpstr>README</vt:lpstr>
      <vt:lpstr>Inputs</vt:lpstr>
      <vt:lpstr>MC Schedules</vt:lpstr>
      <vt:lpstr>Mix</vt:lpstr>
      <vt:lpstr>Charts</vt:lpstr>
      <vt:lpstr>beds_total</vt:lpstr>
      <vt:lpstr>carrot_crop_beds</vt:lpstr>
      <vt:lpstr>carrot_crop_cap</vt:lpstr>
      <vt:lpstr>carrot_crop_dim</vt:lpstr>
      <vt:lpstr>carrot_crop_fert</vt:lpstr>
      <vt:lpstr>carrot_crop_hrswk</vt:lpstr>
      <vt:lpstr>carrot_crop_price</vt:lpstr>
      <vt:lpstr>carrot_crossing</vt:lpstr>
      <vt:lpstr>carrot_mc_pos</vt:lpstr>
      <vt:lpstr>carrot_sched_anchor</vt:lpstr>
      <vt:lpstr>carrot_sched_atc</vt:lpstr>
      <vt:lpstr>carrot_sched_avc</vt:lpstr>
      <vt:lpstr>carrot_sched_fall</vt:lpstr>
      <vt:lpstr>carrot_sched_fert</vt:lpstr>
      <vt:lpstr>carrot_sched_hrs</vt:lpstr>
      <vt:lpstr>carrot_sched_labor</vt:lpstr>
      <vt:lpstr>carrot_sched_mc</vt:lpstr>
      <vt:lpstr>carrot_sched_perm</vt:lpstr>
      <vt:lpstr>carrot_sched_price</vt:lpstr>
      <vt:lpstr>carrot_sched_q</vt:lpstr>
      <vt:lpstr>carrot_sched_tc</vt:lpstr>
      <vt:lpstr>carrot_sched_temp</vt:lpstr>
      <vt:lpstr>carrot_sched_vc</vt:lpstr>
      <vt:lpstr>check_farmer_wage</vt:lpstr>
      <vt:lpstr>check_labor_alloc</vt:lpstr>
      <vt:lpstr>contribution_total</vt:lpstr>
      <vt:lpstr>farmer_field_pct</vt:lpstr>
      <vt:lpstr>farmer_hrs_field</vt:lpstr>
      <vt:lpstr>farmer_hrs_paid</vt:lpstr>
      <vt:lpstr>farmer_hrs_wk</vt:lpstr>
      <vt:lpstr>farmer_salary</vt:lpstr>
      <vt:lpstr>farmer_wage</vt:lpstr>
      <vt:lpstr>fert_total</vt:lpstr>
      <vt:lpstr>fixed_costs</vt:lpstr>
      <vt:lpstr>labor_cost_total</vt:lpstr>
      <vt:lpstr>labor_rate_blended</vt:lpstr>
      <vt:lpstr>mesclun_crop_beds</vt:lpstr>
      <vt:lpstr>mesclun_crop_cap</vt:lpstr>
      <vt:lpstr>mesclun_crop_dim</vt:lpstr>
      <vt:lpstr>mesclun_crop_fert</vt:lpstr>
      <vt:lpstr>mesclun_crop_hrswk</vt:lpstr>
      <vt:lpstr>mesclun_crop_price</vt:lpstr>
      <vt:lpstr>mesclun_crossing</vt:lpstr>
      <vt:lpstr>mesclun_mc_pos</vt:lpstr>
      <vt:lpstr>mesclun_sched_anchor</vt:lpstr>
      <vt:lpstr>mesclun_sched_atc</vt:lpstr>
      <vt:lpstr>mesclun_sched_avc</vt:lpstr>
      <vt:lpstr>mesclun_sched_fall</vt:lpstr>
      <vt:lpstr>mesclun_sched_fert</vt:lpstr>
      <vt:lpstr>mesclun_sched_hrs</vt:lpstr>
      <vt:lpstr>mesclun_sched_labor</vt:lpstr>
      <vt:lpstr>mesclun_sched_mc</vt:lpstr>
      <vt:lpstr>mesclun_sched_perm</vt:lpstr>
      <vt:lpstr>mesclun_sched_price</vt:lpstr>
      <vt:lpstr>mesclun_sched_q</vt:lpstr>
      <vt:lpstr>mesclun_sched_tc</vt:lpstr>
      <vt:lpstr>mesclun_sched_temp</vt:lpstr>
      <vt:lpstr>mesclun_sched_vc</vt:lpstr>
      <vt:lpstr>mix_beds_row</vt:lpstr>
      <vt:lpstr>mix_beds_total</vt:lpstr>
      <vt:lpstr>mix_contrib_row</vt:lpstr>
      <vt:lpstr>mix_fert_row</vt:lpstr>
      <vt:lpstr>mix_hrs_carrot</vt:lpstr>
      <vt:lpstr>mix_hrs_mesclun</vt:lpstr>
      <vt:lpstr>mix_hrs_row</vt:lpstr>
      <vt:lpstr>mix_hrs_tomato</vt:lpstr>
      <vt:lpstr>mix_hrs_total</vt:lpstr>
      <vt:lpstr>mix_labor_alloc_total</vt:lpstr>
      <vt:lpstr>mix_labor_row</vt:lpstr>
      <vt:lpstr>mix_revenue_row</vt:lpstr>
      <vt:lpstr>perm_hrs_used</vt:lpstr>
      <vt:lpstr>revenue_total</vt:lpstr>
      <vt:lpstr>season_profit</vt:lpstr>
      <vt:lpstr>season_weeks</vt:lpstr>
      <vt:lpstr>temp_hrs_avail</vt:lpstr>
      <vt:lpstr>temp_hrs_each</vt:lpstr>
      <vt:lpstr>temp_hrs_used</vt:lpstr>
      <vt:lpstr>temp_max</vt:lpstr>
      <vt:lpstr>temp_salary</vt:lpstr>
      <vt:lpstr>temp_wage</vt:lpstr>
      <vt:lpstr>temp_workers_needed</vt:lpstr>
      <vt:lpstr>tomato_crop_beds</vt:lpstr>
      <vt:lpstr>tomato_crop_cap</vt:lpstr>
      <vt:lpstr>tomato_crop_dim</vt:lpstr>
      <vt:lpstr>tomato_crop_fert</vt:lpstr>
      <vt:lpstr>tomato_crop_hrswk</vt:lpstr>
      <vt:lpstr>tomato_crop_price</vt:lpstr>
      <vt:lpstr>tomato_crossing</vt:lpstr>
      <vt:lpstr>tomato_mc_pos</vt:lpstr>
      <vt:lpstr>tomato_sched_anchor</vt:lpstr>
      <vt:lpstr>tomato_sched_atc</vt:lpstr>
      <vt:lpstr>tomato_sched_avc</vt:lpstr>
      <vt:lpstr>tomato_sched_fall</vt:lpstr>
      <vt:lpstr>tomato_sched_fert</vt:lpstr>
      <vt:lpstr>tomato_sched_hrs</vt:lpstr>
      <vt:lpstr>tomato_sched_labor</vt:lpstr>
      <vt:lpstr>tomato_sched_mc</vt:lpstr>
      <vt:lpstr>tomato_sched_perm</vt:lpstr>
      <vt:lpstr>tomato_sched_price</vt:lpstr>
      <vt:lpstr>tomato_sched_q</vt:lpstr>
      <vt:lpstr>tomato_sched_tc</vt:lpstr>
      <vt:lpstr>tomato_sched_temp</vt:lpstr>
      <vt:lpstr>tomato_sched_vc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Mehr</dc:creator>
  <cp:lastModifiedBy>Allen Mehr</cp:lastModifiedBy>
  <dcterms:created xsi:type="dcterms:W3CDTF">2026-08-28T04:44:38Z</dcterms:created>
  <dcterms:modified xsi:type="dcterms:W3CDTF">2026-08-28T07:05:42Z</dcterms:modified>
</cp:coreProperties>
</file>