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lenmehr/Documents/GitHub/allen-mehr/capabilities/marginal-analysis/"/>
    </mc:Choice>
  </mc:AlternateContent>
  <xr:revisionPtr revIDLastSave="0" documentId="8_{DC1626C1-7E82-AB45-89D2-DCE169378F9E}" xr6:coauthVersionLast="47" xr6:coauthVersionMax="47" xr10:uidLastSave="{00000000-0000-0000-0000-000000000000}"/>
  <bookViews>
    <workbookView xWindow="0" yWindow="660" windowWidth="34560" windowHeight="20280" activeTab="4" xr2:uid="{8C37FA68-86C2-7140-8736-3C670BA2B74A}"/>
  </bookViews>
  <sheets>
    <sheet name="README" sheetId="2" r:id="rId1"/>
    <sheet name="Inputs" sheetId="3" r:id="rId2"/>
    <sheet name="MC Schedules" sheetId="4" r:id="rId3"/>
    <sheet name="Mix" sheetId="5" r:id="rId4"/>
    <sheet name="Charts" sheetId="6" r:id="rId5"/>
  </sheets>
  <definedNames>
    <definedName name="anchor_tomato_q1">Inputs!$B$34</definedName>
    <definedName name="anchor_tomato_q1_req">Inputs!$C$34</definedName>
    <definedName name="anchor_tomato_q10">Inputs!$B$35</definedName>
    <definedName name="anchor_tomato_q10_req">Inputs!$C$35</definedName>
    <definedName name="beds_planted">Mix!$B$8</definedName>
    <definedName name="beds_total">Inputs!$B$7</definedName>
    <definedName name="carrot_contribution">Mix!$G$24</definedName>
    <definedName name="carrot_crop_beds">Mix!$B$6</definedName>
    <definedName name="carrot_crop_cap">Inputs!$C$29</definedName>
    <definedName name="carrot_crop_dim">Inputs!$C$28</definedName>
    <definedName name="carrot_crop_fert">Inputs!$C$27</definedName>
    <definedName name="carrot_crop_hrswk">Inputs!$C$30</definedName>
    <definedName name="carrot_crop_price">Inputs!$C$26</definedName>
    <definedName name="carrot_fert_cost">Mix!$E$24</definedName>
    <definedName name="carrot_labor_cost">Mix!$F$24</definedName>
    <definedName name="carrot_revenue">Mix!$D$24</definedName>
    <definedName name="check_errors_req">README!$C$36</definedName>
    <definedName name="check_errors_sched">README!$B$36</definedName>
    <definedName name="check_labor_sum">Mix!$B$46</definedName>
    <definedName name="check_wage_dollars">Inputs!$B$36</definedName>
    <definedName name="check_wage_dollars_req">Inputs!$C$36</definedName>
    <definedName name="crossing_carrot">'MC Schedules'!$C$92</definedName>
    <definedName name="crossing_mesclun">'MC Schedules'!$C$93</definedName>
    <definedName name="crossing_req_carrot">README!$C$33</definedName>
    <definedName name="crossing_req_mesclun">README!$C$34</definedName>
    <definedName name="crossing_req_tomato">README!$C$32</definedName>
    <definedName name="crossing_tomato">'MC Schedules'!$C$91</definedName>
    <definedName name="farmer_field_pct">Inputs!$B$14</definedName>
    <definedName name="farmer_hrs_field">Inputs!$B$16</definedName>
    <definedName name="farmer_hrs_paid">Inputs!$B$15</definedName>
    <definedName name="farmer_hrs_wk">Inputs!$B$13</definedName>
    <definedName name="farmer_salary">Inputs!$B$12</definedName>
    <definedName name="farmer_wage">Inputs!$B$17</definedName>
    <definedName name="fert_total">Mix!$B$30</definedName>
    <definedName name="fixed_costs">Inputs!$B$8</definedName>
    <definedName name="labor_cost_total">Mix!$B$18</definedName>
    <definedName name="labor_rate_blended">Mix!$B$19</definedName>
    <definedName name="mesclun_contribution">Mix!$G$25</definedName>
    <definedName name="mesclun_crop_beds">Mix!$B$7</definedName>
    <definedName name="mesclun_crop_cap">Inputs!$D$29</definedName>
    <definedName name="mesclun_crop_dim">Inputs!$D$28</definedName>
    <definedName name="mesclun_crop_fert">Inputs!$D$27</definedName>
    <definedName name="mesclun_crop_hrswk">Inputs!$D$30</definedName>
    <definedName name="mesclun_crop_price">Inputs!$D$26</definedName>
    <definedName name="mesclun_fert_cost">Mix!$E$25</definedName>
    <definedName name="mesclun_labor_cost">Mix!$F$25</definedName>
    <definedName name="mesclun_revenue">Mix!$D$25</definedName>
    <definedName name="mix_hrs_carrot">Mix!$B$12</definedName>
    <definedName name="mix_hrs_mesclun">Mix!$B$13</definedName>
    <definedName name="mix_hrs_tomato">Mix!$B$11</definedName>
    <definedName name="mix_hrs_total">Mix!$B$14</definedName>
    <definedName name="perm_hrs_used">Mix!$B$15</definedName>
    <definedName name="revenue_total">Mix!$B$29</definedName>
    <definedName name="season_profit">Mix!$B$33</definedName>
    <definedName name="season_weeks">Inputs!$B$6</definedName>
    <definedName name="temp_hrs_avail">Inputs!$B$22</definedName>
    <definedName name="temp_hrs_each">Inputs!$B$19</definedName>
    <definedName name="temp_hrs_used">Mix!$B$16</definedName>
    <definedName name="temp_max">Inputs!$B$21</definedName>
    <definedName name="temp_salary">Inputs!$B$18</definedName>
    <definedName name="temp_wage">Inputs!$B$20</definedName>
    <definedName name="temp_workers_needed">Mix!$B$17</definedName>
    <definedName name="tomato_contribution">Mix!$G$23</definedName>
    <definedName name="tomato_crop_beds">Mix!$B$5</definedName>
    <definedName name="tomato_crop_cap">Inputs!$B$29</definedName>
    <definedName name="tomato_crop_dim">Inputs!$B$28</definedName>
    <definedName name="tomato_crop_fert">Inputs!$B$27</definedName>
    <definedName name="tomato_crop_hrswk">Inputs!$B$30</definedName>
    <definedName name="tomato_crop_price">Inputs!$B$26</definedName>
    <definedName name="tomato_fert_cost">Mix!$E$23</definedName>
    <definedName name="tomato_labor_cost">Mix!$F$23</definedName>
    <definedName name="tomato_revenue">Mix!$D$23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1" i="2" l="1"/>
  <c r="C30" i="2"/>
  <c r="C29" i="2"/>
  <c r="B41" i="5"/>
  <c r="E40" i="5" a="1"/>
  <c r="E40" i="5" s="1"/>
  <c r="D40" i="5" a="1"/>
  <c r="D40" i="5" s="1"/>
  <c r="C40" i="5" a="1"/>
  <c r="C40" i="5" s="1"/>
  <c r="B40" i="5"/>
  <c r="E39" i="5" a="1"/>
  <c r="E39" i="5" s="1"/>
  <c r="D39" i="5" a="1"/>
  <c r="D39" i="5" s="1"/>
  <c r="C39" i="5" a="1"/>
  <c r="C39" i="5" s="1"/>
  <c r="B39" i="5"/>
  <c r="E38" i="5" a="1"/>
  <c r="E38" i="5" s="1"/>
  <c r="D38" i="5" a="1"/>
  <c r="D38" i="5" s="1"/>
  <c r="C38" i="5" a="1"/>
  <c r="C38" i="5" s="1"/>
  <c r="B38" i="5"/>
  <c r="B37" i="5"/>
  <c r="B32" i="5"/>
  <c r="E25" i="5" a="1"/>
  <c r="E25" i="5" s="1"/>
  <c r="D25" i="5" a="1"/>
  <c r="D25" i="5" s="1"/>
  <c r="B25" i="5" a="1"/>
  <c r="B25" i="5" s="1"/>
  <c r="E24" i="5" a="1"/>
  <c r="E24" i="5" s="1"/>
  <c r="D24" i="5" a="1"/>
  <c r="D24" i="5" s="1"/>
  <c r="B24" i="5" a="1"/>
  <c r="B24" i="5" s="1"/>
  <c r="E23" i="5" a="1"/>
  <c r="E23" i="5" s="1"/>
  <c r="D23" i="5" a="1"/>
  <c r="D23" i="5" s="1"/>
  <c r="B23" i="5" a="1"/>
  <c r="B23" i="5" s="1"/>
  <c r="B11" i="5" a="1"/>
  <c r="B11" i="5" s="1"/>
  <c r="C23" i="5" s="1" a="1"/>
  <c r="C23" i="5" s="1"/>
  <c r="B8" i="5" a="1"/>
  <c r="B8" i="5" s="1"/>
  <c r="D37" i="5" s="1" a="1"/>
  <c r="D37" i="5" s="1"/>
  <c r="B93" i="4"/>
  <c r="B92" i="4"/>
  <c r="B91" i="4"/>
  <c r="AC56" i="4"/>
  <c r="AC57" i="4"/>
  <c r="AA76" i="4"/>
  <c r="V56" i="4"/>
  <c r="V57" i="4"/>
  <c r="V58" i="4"/>
  <c r="AA58" i="4" s="1"/>
  <c r="V59" i="4"/>
  <c r="AA59" i="4" s="1"/>
  <c r="V60" i="4"/>
  <c r="AA60" i="4" s="1"/>
  <c r="V61" i="4"/>
  <c r="V62" i="4"/>
  <c r="AA62" i="4" s="1"/>
  <c r="V63" i="4"/>
  <c r="AA63" i="4" s="1"/>
  <c r="V64" i="4"/>
  <c r="AA64" i="4" s="1"/>
  <c r="V65" i="4"/>
  <c r="AA65" i="4" s="1"/>
  <c r="V66" i="4"/>
  <c r="V67" i="4"/>
  <c r="AA67" i="4" s="1"/>
  <c r="V68" i="4"/>
  <c r="V69" i="4"/>
  <c r="V70" i="4"/>
  <c r="V71" i="4"/>
  <c r="V72" i="4"/>
  <c r="V73" i="4"/>
  <c r="V74" i="4"/>
  <c r="V75" i="4"/>
  <c r="AA75" i="4" s="1"/>
  <c r="V76" i="4"/>
  <c r="V77" i="4"/>
  <c r="V78" i="4"/>
  <c r="AA78" i="4" s="1"/>
  <c r="V79" i="4"/>
  <c r="AA79" i="4" s="1"/>
  <c r="V80" i="4"/>
  <c r="V81" i="4"/>
  <c r="AA81" i="4" s="1"/>
  <c r="V82" i="4"/>
  <c r="V83" i="4"/>
  <c r="V84" i="4"/>
  <c r="V85" i="4"/>
  <c r="V86" i="4"/>
  <c r="O56" i="4"/>
  <c r="T56" i="4" s="1"/>
  <c r="O57" i="4"/>
  <c r="T57" i="4" s="1"/>
  <c r="O58" i="4"/>
  <c r="T58" i="4" s="1"/>
  <c r="O59" i="4"/>
  <c r="O60" i="4"/>
  <c r="T60" i="4" s="1"/>
  <c r="O61" i="4"/>
  <c r="O62" i="4"/>
  <c r="O63" i="4"/>
  <c r="O64" i="4"/>
  <c r="O65" i="4"/>
  <c r="P65" i="4" s="1"/>
  <c r="O66" i="4"/>
  <c r="T66" i="4" s="1"/>
  <c r="O67" i="4"/>
  <c r="T67" i="4" s="1"/>
  <c r="O68" i="4"/>
  <c r="O69" i="4"/>
  <c r="O70" i="4"/>
  <c r="T70" i="4" s="1"/>
  <c r="O71" i="4"/>
  <c r="O72" i="4"/>
  <c r="T72" i="4" s="1"/>
  <c r="O73" i="4"/>
  <c r="O74" i="4"/>
  <c r="T74" i="4" s="1"/>
  <c r="O75" i="4"/>
  <c r="O76" i="4"/>
  <c r="O77" i="4"/>
  <c r="O78" i="4"/>
  <c r="O79" i="4"/>
  <c r="T79" i="4" s="1"/>
  <c r="O80" i="4"/>
  <c r="O81" i="4"/>
  <c r="O82" i="4"/>
  <c r="O83" i="4"/>
  <c r="T83" i="4" s="1"/>
  <c r="O84" i="4"/>
  <c r="T84" i="4" s="1"/>
  <c r="O85" i="4"/>
  <c r="T85" i="4" s="1"/>
  <c r="O86" i="4"/>
  <c r="T86" i="4" s="1"/>
  <c r="N56" i="4"/>
  <c r="N57" i="4"/>
  <c r="M56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K56" i="4"/>
  <c r="J56" i="4"/>
  <c r="I56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AC31" i="4"/>
  <c r="AC32" i="4"/>
  <c r="AA41" i="4"/>
  <c r="V31" i="4"/>
  <c r="V32" i="4"/>
  <c r="AA32" i="4" s="1"/>
  <c r="V33" i="4"/>
  <c r="AA33" i="4" s="1"/>
  <c r="V34" i="4"/>
  <c r="AA34" i="4" s="1"/>
  <c r="V35" i="4"/>
  <c r="V36" i="4"/>
  <c r="V37" i="4"/>
  <c r="V38" i="4"/>
  <c r="V39" i="4"/>
  <c r="V40" i="4"/>
  <c r="V41" i="4"/>
  <c r="V42" i="4"/>
  <c r="AA42" i="4" s="1"/>
  <c r="V43" i="4"/>
  <c r="AA43" i="4" s="1"/>
  <c r="V44" i="4"/>
  <c r="AA44" i="4" s="1"/>
  <c r="V45" i="4"/>
  <c r="V46" i="4"/>
  <c r="AA46" i="4" s="1"/>
  <c r="V47" i="4"/>
  <c r="AA47" i="4" s="1"/>
  <c r="V48" i="4"/>
  <c r="AA48" i="4" s="1"/>
  <c r="V49" i="4"/>
  <c r="V50" i="4"/>
  <c r="V51" i="4"/>
  <c r="O31" i="4"/>
  <c r="T31" i="4" s="1"/>
  <c r="O32" i="4"/>
  <c r="O33" i="4"/>
  <c r="O34" i="4"/>
  <c r="O35" i="4"/>
  <c r="O36" i="4"/>
  <c r="O37" i="4"/>
  <c r="T37" i="4" s="1"/>
  <c r="O38" i="4"/>
  <c r="O39" i="4"/>
  <c r="T39" i="4" s="1"/>
  <c r="O40" i="4"/>
  <c r="O41" i="4"/>
  <c r="T41" i="4" s="1"/>
  <c r="O42" i="4"/>
  <c r="O43" i="4"/>
  <c r="O44" i="4"/>
  <c r="T44" i="4" s="1"/>
  <c r="O45" i="4"/>
  <c r="T45" i="4" s="1"/>
  <c r="O46" i="4"/>
  <c r="O47" i="4"/>
  <c r="O48" i="4"/>
  <c r="O49" i="4"/>
  <c r="O50" i="4"/>
  <c r="O51" i="4"/>
  <c r="N31" i="4"/>
  <c r="N32" i="4"/>
  <c r="M31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K31" i="4"/>
  <c r="J31" i="4"/>
  <c r="I31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AC6" i="4"/>
  <c r="AC7" i="4"/>
  <c r="V6" i="4"/>
  <c r="V7" i="4"/>
  <c r="V8" i="4"/>
  <c r="V9" i="4"/>
  <c r="V10" i="4"/>
  <c r="AA10" i="4" s="1"/>
  <c r="V11" i="4"/>
  <c r="W11" i="4" s="1"/>
  <c r="V12" i="4"/>
  <c r="W12" i="4" s="1"/>
  <c r="V13" i="4"/>
  <c r="W13" i="4" s="1"/>
  <c r="V14" i="4"/>
  <c r="W14" i="4" s="1"/>
  <c r="V15" i="4"/>
  <c r="W15" i="4" s="1"/>
  <c r="V16" i="4"/>
  <c r="W16" i="4" s="1"/>
  <c r="V17" i="4"/>
  <c r="V18" i="4"/>
  <c r="W18" i="4" s="1"/>
  <c r="V19" i="4"/>
  <c r="V20" i="4"/>
  <c r="V21" i="4"/>
  <c r="V22" i="4"/>
  <c r="V23" i="4"/>
  <c r="V24" i="4"/>
  <c r="AA24" i="4" s="1"/>
  <c r="V25" i="4"/>
  <c r="AA25" i="4" s="1"/>
  <c r="V26" i="4"/>
  <c r="AA26" i="4" s="1"/>
  <c r="T20" i="4"/>
  <c r="O6" i="4"/>
  <c r="T6" i="4" s="1"/>
  <c r="O7" i="4"/>
  <c r="P7" i="4" s="1"/>
  <c r="O8" i="4"/>
  <c r="T8" i="4" s="1"/>
  <c r="O9" i="4"/>
  <c r="T9" i="4" s="1"/>
  <c r="O10" i="4"/>
  <c r="O11" i="4"/>
  <c r="P11" i="4" s="1"/>
  <c r="O12" i="4"/>
  <c r="T12" i="4" s="1"/>
  <c r="O13" i="4"/>
  <c r="O14" i="4"/>
  <c r="T14" i="4" s="1"/>
  <c r="O15" i="4"/>
  <c r="O16" i="4"/>
  <c r="T16" i="4" s="1"/>
  <c r="O17" i="4"/>
  <c r="T17" i="4" s="1"/>
  <c r="O18" i="4"/>
  <c r="P18" i="4" s="1"/>
  <c r="O19" i="4"/>
  <c r="P19" i="4" s="1"/>
  <c r="O20" i="4"/>
  <c r="P20" i="4" s="1"/>
  <c r="O21" i="4"/>
  <c r="T21" i="4" s="1"/>
  <c r="O22" i="4"/>
  <c r="T22" i="4" s="1"/>
  <c r="O23" i="4"/>
  <c r="T23" i="4" s="1"/>
  <c r="O24" i="4"/>
  <c r="O25" i="4"/>
  <c r="P25" i="4" s="1"/>
  <c r="O26" i="4"/>
  <c r="P26" i="4" s="1"/>
  <c r="N6" i="4"/>
  <c r="N7" i="4"/>
  <c r="M6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K6" i="4"/>
  <c r="J6" i="4"/>
  <c r="I6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35" i="3"/>
  <c r="D35" i="3" s="1"/>
  <c r="B34" i="3"/>
  <c r="D34" i="3" s="1"/>
  <c r="D30" i="3" a="1"/>
  <c r="D30" i="3" s="1"/>
  <c r="B66" i="4" s="1"/>
  <c r="C30" i="3" a="1"/>
  <c r="C30" i="3" s="1"/>
  <c r="B40" i="4" s="1"/>
  <c r="B22" i="3" a="1"/>
  <c r="B22" i="3" s="1"/>
  <c r="B20" i="3" a="1"/>
  <c r="B20" i="3" s="1"/>
  <c r="B15" i="3" a="1"/>
  <c r="B15" i="3" s="1"/>
  <c r="B17" i="3" s="1" a="1"/>
  <c r="B17" i="3" s="1"/>
  <c r="P22" i="4" l="1"/>
  <c r="B29" i="2"/>
  <c r="D29" i="2"/>
  <c r="B13" i="5" a="1"/>
  <c r="B13" i="5" s="1"/>
  <c r="C25" i="5" s="1" a="1"/>
  <c r="C25" i="5" s="1"/>
  <c r="W86" i="4"/>
  <c r="W72" i="4"/>
  <c r="B30" i="2"/>
  <c r="D30" i="2"/>
  <c r="AA72" i="4"/>
  <c r="AA15" i="4"/>
  <c r="P40" i="4"/>
  <c r="Q40" i="4" s="1"/>
  <c r="R40" i="4" s="1"/>
  <c r="W10" i="4"/>
  <c r="W24" i="4"/>
  <c r="P8" i="4"/>
  <c r="W26" i="4"/>
  <c r="P6" i="4"/>
  <c r="AA16" i="4"/>
  <c r="P21" i="4"/>
  <c r="W74" i="4"/>
  <c r="E37" i="5" a="1"/>
  <c r="E37" i="5" s="1"/>
  <c r="B26" i="5" a="1"/>
  <c r="B26" i="5" s="1"/>
  <c r="C37" i="5" a="1"/>
  <c r="C37" i="5" s="1"/>
  <c r="B30" i="5" a="1"/>
  <c r="B30" i="5" s="1"/>
  <c r="E26" i="5" s="1" a="1"/>
  <c r="E26" i="5" s="1"/>
  <c r="B12" i="5" a="1"/>
  <c r="B12" i="5" s="1"/>
  <c r="W47" i="4"/>
  <c r="T25" i="4"/>
  <c r="P58" i="4"/>
  <c r="P43" i="4"/>
  <c r="T43" i="4"/>
  <c r="W77" i="4"/>
  <c r="AA12" i="4"/>
  <c r="AA74" i="4"/>
  <c r="W41" i="4"/>
  <c r="P42" i="4"/>
  <c r="W38" i="4"/>
  <c r="B29" i="5" a="1"/>
  <c r="B29" i="5" s="1"/>
  <c r="P23" i="4"/>
  <c r="W33" i="4"/>
  <c r="W71" i="4"/>
  <c r="B72" i="4"/>
  <c r="P56" i="4"/>
  <c r="AA18" i="4"/>
  <c r="P78" i="4"/>
  <c r="B31" i="4"/>
  <c r="P37" i="4"/>
  <c r="W69" i="4"/>
  <c r="B39" i="4"/>
  <c r="B65" i="4"/>
  <c r="B38" i="4"/>
  <c r="W44" i="4"/>
  <c r="B78" i="4"/>
  <c r="B64" i="4"/>
  <c r="W76" i="4"/>
  <c r="W67" i="4"/>
  <c r="T18" i="4"/>
  <c r="B45" i="4"/>
  <c r="W49" i="4"/>
  <c r="B85" i="4"/>
  <c r="W46" i="4"/>
  <c r="B16" i="3" a="1"/>
  <c r="B16" i="3" s="1"/>
  <c r="X14" i="4" s="1"/>
  <c r="B51" i="4"/>
  <c r="B37" i="4"/>
  <c r="P44" i="4"/>
  <c r="Q44" i="4" s="1"/>
  <c r="P45" i="4"/>
  <c r="T42" i="4"/>
  <c r="W43" i="4"/>
  <c r="AA38" i="4"/>
  <c r="B77" i="4"/>
  <c r="B63" i="4"/>
  <c r="P69" i="4"/>
  <c r="P86" i="4"/>
  <c r="T65" i="4"/>
  <c r="W75" i="4"/>
  <c r="W61" i="4"/>
  <c r="X61" i="4" s="1"/>
  <c r="W65" i="4"/>
  <c r="AA86" i="4"/>
  <c r="Q8" i="4"/>
  <c r="R8" i="4" s="1"/>
  <c r="B50" i="4"/>
  <c r="B36" i="4"/>
  <c r="W42" i="4"/>
  <c r="B76" i="4"/>
  <c r="B62" i="4"/>
  <c r="P84" i="4"/>
  <c r="W64" i="4"/>
  <c r="X64" i="4" s="1"/>
  <c r="P41" i="4"/>
  <c r="B57" i="4"/>
  <c r="B79" i="4"/>
  <c r="B49" i="4"/>
  <c r="B35" i="4"/>
  <c r="T40" i="4"/>
  <c r="B75" i="4"/>
  <c r="B61" i="4"/>
  <c r="P81" i="4"/>
  <c r="P83" i="4"/>
  <c r="W63" i="4"/>
  <c r="AA77" i="4"/>
  <c r="B74" i="4"/>
  <c r="P79" i="4"/>
  <c r="W62" i="4"/>
  <c r="B86" i="4"/>
  <c r="P64" i="4"/>
  <c r="P72" i="4"/>
  <c r="W58" i="4"/>
  <c r="X58" i="4" s="1"/>
  <c r="Y58" i="4" s="1"/>
  <c r="B56" i="4"/>
  <c r="P76" i="4"/>
  <c r="P62" i="4"/>
  <c r="P67" i="4"/>
  <c r="W82" i="4"/>
  <c r="W81" i="4"/>
  <c r="W83" i="4"/>
  <c r="AA14" i="4"/>
  <c r="B43" i="4"/>
  <c r="B83" i="4"/>
  <c r="B69" i="4"/>
  <c r="P75" i="4"/>
  <c r="P61" i="4"/>
  <c r="P66" i="4"/>
  <c r="W79" i="4"/>
  <c r="B48" i="4"/>
  <c r="B34" i="4"/>
  <c r="B60" i="4"/>
  <c r="B47" i="4"/>
  <c r="B33" i="4"/>
  <c r="B73" i="4"/>
  <c r="B59" i="4"/>
  <c r="P74" i="4"/>
  <c r="W85" i="4"/>
  <c r="W57" i="4"/>
  <c r="W60" i="4"/>
  <c r="T19" i="4"/>
  <c r="B32" i="4"/>
  <c r="P17" i="4"/>
  <c r="T7" i="4"/>
  <c r="AA13" i="4"/>
  <c r="B42" i="4"/>
  <c r="C42" i="4" s="1"/>
  <c r="W32" i="4"/>
  <c r="B82" i="4"/>
  <c r="B68" i="4"/>
  <c r="T81" i="4"/>
  <c r="W80" i="4"/>
  <c r="W66" i="4"/>
  <c r="W78" i="4"/>
  <c r="B46" i="4"/>
  <c r="P39" i="4"/>
  <c r="B58" i="4"/>
  <c r="B71" i="4"/>
  <c r="P70" i="4"/>
  <c r="B44" i="4"/>
  <c r="P31" i="4"/>
  <c r="W48" i="4"/>
  <c r="B84" i="4"/>
  <c r="B70" i="4"/>
  <c r="W68" i="4"/>
  <c r="P12" i="4"/>
  <c r="B41" i="4"/>
  <c r="B81" i="4"/>
  <c r="B67" i="4"/>
  <c r="P73" i="4"/>
  <c r="P59" i="4"/>
  <c r="P60" i="4"/>
  <c r="P9" i="4"/>
  <c r="Q9" i="4" s="1"/>
  <c r="B80" i="4"/>
  <c r="T78" i="4"/>
  <c r="AA73" i="4"/>
  <c r="W73" i="4"/>
  <c r="AA9" i="4"/>
  <c r="W9" i="4"/>
  <c r="AA37" i="4"/>
  <c r="W37" i="4"/>
  <c r="AA23" i="4"/>
  <c r="W23" i="4"/>
  <c r="AA35" i="4"/>
  <c r="W35" i="4"/>
  <c r="T71" i="4"/>
  <c r="P71" i="4"/>
  <c r="AA20" i="4"/>
  <c r="W20" i="4"/>
  <c r="AA6" i="4"/>
  <c r="W6" i="4"/>
  <c r="T49" i="4"/>
  <c r="P49" i="4"/>
  <c r="T35" i="4"/>
  <c r="P35" i="4"/>
  <c r="P57" i="4"/>
  <c r="AA51" i="4"/>
  <c r="W51" i="4"/>
  <c r="AA7" i="4"/>
  <c r="W7" i="4"/>
  <c r="W59" i="4"/>
  <c r="T11" i="4"/>
  <c r="AA19" i="4"/>
  <c r="W19" i="4"/>
  <c r="T48" i="4"/>
  <c r="P48" i="4"/>
  <c r="T34" i="4"/>
  <c r="P34" i="4"/>
  <c r="T69" i="4"/>
  <c r="AA39" i="4"/>
  <c r="W39" i="4"/>
  <c r="AA11" i="4"/>
  <c r="T36" i="4"/>
  <c r="P36" i="4"/>
  <c r="W56" i="4"/>
  <c r="AA56" i="4"/>
  <c r="T24" i="4"/>
  <c r="P24" i="4"/>
  <c r="T10" i="4"/>
  <c r="P10" i="4"/>
  <c r="P16" i="4"/>
  <c r="W25" i="4"/>
  <c r="T47" i="4"/>
  <c r="P47" i="4"/>
  <c r="T33" i="4"/>
  <c r="P33" i="4"/>
  <c r="P82" i="4"/>
  <c r="T82" i="4"/>
  <c r="P68" i="4"/>
  <c r="T68" i="4"/>
  <c r="P85" i="4"/>
  <c r="AA8" i="4"/>
  <c r="W8" i="4"/>
  <c r="T13" i="4"/>
  <c r="P13" i="4"/>
  <c r="AA21" i="4"/>
  <c r="W21" i="4"/>
  <c r="P14" i="4"/>
  <c r="T26" i="4"/>
  <c r="AA17" i="4"/>
  <c r="W17" i="4"/>
  <c r="T46" i="4"/>
  <c r="P46" i="4"/>
  <c r="T32" i="4"/>
  <c r="P32" i="4"/>
  <c r="T51" i="4"/>
  <c r="P51" i="4"/>
  <c r="W84" i="4"/>
  <c r="AA84" i="4"/>
  <c r="T80" i="4"/>
  <c r="P80" i="4"/>
  <c r="T15" i="4"/>
  <c r="P15" i="4"/>
  <c r="AA50" i="4"/>
  <c r="W50" i="4"/>
  <c r="T50" i="4"/>
  <c r="P50" i="4"/>
  <c r="W70" i="4"/>
  <c r="AA70" i="4"/>
  <c r="AA22" i="4"/>
  <c r="W22" i="4"/>
  <c r="AA36" i="4"/>
  <c r="W36" i="4"/>
  <c r="AA40" i="4"/>
  <c r="W40" i="4"/>
  <c r="AA49" i="4"/>
  <c r="AA71" i="4"/>
  <c r="P77" i="4"/>
  <c r="T77" i="4"/>
  <c r="P63" i="4"/>
  <c r="T63" i="4"/>
  <c r="AA45" i="4"/>
  <c r="W45" i="4"/>
  <c r="AA31" i="4"/>
  <c r="W31" i="4"/>
  <c r="T64" i="4"/>
  <c r="AA61" i="4"/>
  <c r="W34" i="4"/>
  <c r="T38" i="4"/>
  <c r="P38" i="4"/>
  <c r="AA85" i="4"/>
  <c r="AA57" i="4"/>
  <c r="T76" i="4"/>
  <c r="T62" i="4"/>
  <c r="AA83" i="4"/>
  <c r="AA69" i="4"/>
  <c r="T75" i="4"/>
  <c r="T61" i="4"/>
  <c r="AA82" i="4"/>
  <c r="AA68" i="4"/>
  <c r="T73" i="4"/>
  <c r="T59" i="4"/>
  <c r="AA80" i="4"/>
  <c r="AA66" i="4"/>
  <c r="X65" i="4" l="1"/>
  <c r="Q37" i="4"/>
  <c r="Q86" i="4"/>
  <c r="X41" i="4"/>
  <c r="C69" i="4"/>
  <c r="Q69" i="4"/>
  <c r="R69" i="4" s="1"/>
  <c r="C70" i="4"/>
  <c r="D70" i="4" s="1"/>
  <c r="E70" i="4" s="1"/>
  <c r="G70" i="4" s="1"/>
  <c r="C84" i="4"/>
  <c r="D84" i="4" s="1"/>
  <c r="E84" i="4" s="1"/>
  <c r="G84" i="4" s="1"/>
  <c r="X74" i="4"/>
  <c r="Y74" i="4" s="1"/>
  <c r="C79" i="4"/>
  <c r="C83" i="4"/>
  <c r="D83" i="4" s="1"/>
  <c r="Y65" i="4"/>
  <c r="Z65" i="4" s="1"/>
  <c r="AB65" i="4" s="1"/>
  <c r="Q19" i="4"/>
  <c r="R19" i="4" s="1"/>
  <c r="S19" i="4" s="1"/>
  <c r="U19" i="4" s="1"/>
  <c r="X11" i="4"/>
  <c r="Y11" i="4" s="1"/>
  <c r="X48" i="4"/>
  <c r="Y48" i="4" s="1"/>
  <c r="Z48" i="4" s="1"/>
  <c r="AB48" i="4" s="1"/>
  <c r="X32" i="4"/>
  <c r="Y32" i="4" s="1"/>
  <c r="Z32" i="4" s="1"/>
  <c r="AB32" i="4" s="1"/>
  <c r="X80" i="4"/>
  <c r="X16" i="4"/>
  <c r="X75" i="4"/>
  <c r="Q67" i="4"/>
  <c r="Q84" i="4"/>
  <c r="X26" i="4"/>
  <c r="Y26" i="4" s="1"/>
  <c r="X83" i="4"/>
  <c r="Y83" i="4" s="1"/>
  <c r="X42" i="4"/>
  <c r="Y42" i="4" s="1"/>
  <c r="Z42" i="4" s="1"/>
  <c r="AB42" i="4" s="1"/>
  <c r="C80" i="4"/>
  <c r="Q45" i="4"/>
  <c r="R45" i="4" s="1"/>
  <c r="X44" i="4"/>
  <c r="Y44" i="4" s="1"/>
  <c r="Z44" i="4" s="1"/>
  <c r="AB44" i="4" s="1"/>
  <c r="AC44" i="4" s="1"/>
  <c r="X10" i="4"/>
  <c r="Y10" i="4" s="1"/>
  <c r="Z10" i="4" s="1"/>
  <c r="AB10" i="4" s="1"/>
  <c r="X72" i="4"/>
  <c r="Y72" i="4" s="1"/>
  <c r="Q39" i="4"/>
  <c r="R39" i="4" s="1"/>
  <c r="Q18" i="4"/>
  <c r="X82" i="4"/>
  <c r="Y82" i="4" s="1"/>
  <c r="Q60" i="4"/>
  <c r="R60" i="4" s="1"/>
  <c r="Q70" i="4"/>
  <c r="R70" i="4" s="1"/>
  <c r="S70" i="4" s="1"/>
  <c r="U70" i="4" s="1"/>
  <c r="C47" i="4"/>
  <c r="D47" i="4" s="1"/>
  <c r="C22" i="4"/>
  <c r="D22" i="4" s="1"/>
  <c r="E22" i="4" s="1"/>
  <c r="G22" i="4" s="1"/>
  <c r="Q79" i="4"/>
  <c r="R79" i="4" s="1"/>
  <c r="C31" i="4"/>
  <c r="D31" i="4" s="1"/>
  <c r="E31" i="4" s="1"/>
  <c r="G31" i="4" s="1"/>
  <c r="H31" i="4" s="1"/>
  <c r="C86" i="4"/>
  <c r="D86" i="4" s="1"/>
  <c r="E86" i="4" s="1"/>
  <c r="G86" i="4" s="1"/>
  <c r="C13" i="4"/>
  <c r="D13" i="4" s="1"/>
  <c r="E13" i="4" s="1"/>
  <c r="G13" i="4" s="1"/>
  <c r="H13" i="4" s="1"/>
  <c r="K13" i="4" s="1"/>
  <c r="X62" i="4"/>
  <c r="Y62" i="4" s="1"/>
  <c r="Z62" i="4" s="1"/>
  <c r="AB62" i="4" s="1"/>
  <c r="X86" i="4"/>
  <c r="Y86" i="4" s="1"/>
  <c r="Q83" i="4"/>
  <c r="R83" i="4" s="1"/>
  <c r="Q73" i="4"/>
  <c r="C19" i="4"/>
  <c r="D19" i="4" s="1"/>
  <c r="E19" i="4" s="1"/>
  <c r="G19" i="4" s="1"/>
  <c r="J19" i="4" s="1"/>
  <c r="C67" i="4"/>
  <c r="C81" i="4"/>
  <c r="D81" i="4" s="1"/>
  <c r="C21" i="4"/>
  <c r="D21" i="4" s="1"/>
  <c r="Q11" i="4"/>
  <c r="R11" i="4" s="1"/>
  <c r="C14" i="4"/>
  <c r="D14" i="4" s="1"/>
  <c r="E14" i="4" s="1"/>
  <c r="G14" i="4" s="1"/>
  <c r="J14" i="4" s="1"/>
  <c r="C43" i="4"/>
  <c r="D43" i="4" s="1"/>
  <c r="E43" i="4" s="1"/>
  <c r="G43" i="4" s="1"/>
  <c r="C33" i="4"/>
  <c r="D33" i="4" s="1"/>
  <c r="E33" i="4" s="1"/>
  <c r="G33" i="4" s="1"/>
  <c r="J33" i="4" s="1"/>
  <c r="C71" i="4"/>
  <c r="D71" i="4" s="1"/>
  <c r="E71" i="4" s="1"/>
  <c r="G71" i="4" s="1"/>
  <c r="C15" i="4"/>
  <c r="D15" i="4" s="1"/>
  <c r="E15" i="4" s="1"/>
  <c r="G15" i="4" s="1"/>
  <c r="H15" i="4" s="1"/>
  <c r="K15" i="4" s="1"/>
  <c r="Q65" i="4"/>
  <c r="R65" i="4" s="1"/>
  <c r="Q17" i="4"/>
  <c r="R17" i="4" s="1"/>
  <c r="S17" i="4" s="1"/>
  <c r="U17" i="4" s="1"/>
  <c r="C58" i="4"/>
  <c r="D58" i="4" s="1"/>
  <c r="E58" i="4" s="1"/>
  <c r="G58" i="4" s="1"/>
  <c r="Q25" i="4"/>
  <c r="X76" i="4"/>
  <c r="Q58" i="4"/>
  <c r="Q81" i="4"/>
  <c r="C16" i="4"/>
  <c r="D16" i="4" s="1"/>
  <c r="E16" i="4" s="1"/>
  <c r="G16" i="4" s="1"/>
  <c r="H16" i="4" s="1"/>
  <c r="K16" i="4" s="1"/>
  <c r="C57" i="4"/>
  <c r="D57" i="4" s="1"/>
  <c r="E57" i="4" s="1"/>
  <c r="G57" i="4" s="1"/>
  <c r="Q21" i="4"/>
  <c r="R21" i="4" s="1"/>
  <c r="C74" i="4"/>
  <c r="D74" i="4" s="1"/>
  <c r="C17" i="4"/>
  <c r="C7" i="4"/>
  <c r="D7" i="4" s="1"/>
  <c r="C20" i="4"/>
  <c r="D20" i="4" s="1"/>
  <c r="X79" i="4"/>
  <c r="Y79" i="4" s="1"/>
  <c r="X47" i="4"/>
  <c r="Y47" i="4" s="1"/>
  <c r="Q26" i="4"/>
  <c r="R26" i="4" s="1"/>
  <c r="X43" i="4"/>
  <c r="C64" i="4"/>
  <c r="D64" i="4" s="1"/>
  <c r="E64" i="4" s="1"/>
  <c r="G64" i="4" s="1"/>
  <c r="J64" i="4" s="1"/>
  <c r="X81" i="4"/>
  <c r="Q56" i="4"/>
  <c r="C60" i="4"/>
  <c r="D60" i="4" s="1"/>
  <c r="E60" i="4" s="1"/>
  <c r="G60" i="4" s="1"/>
  <c r="H60" i="4" s="1"/>
  <c r="K60" i="4" s="1"/>
  <c r="C41" i="4"/>
  <c r="D41" i="4" s="1"/>
  <c r="C40" i="4"/>
  <c r="D40" i="4" s="1"/>
  <c r="Q7" i="4"/>
  <c r="R7" i="4" s="1"/>
  <c r="X60" i="4"/>
  <c r="Y60" i="4" s="1"/>
  <c r="C8" i="4"/>
  <c r="D8" i="4" s="1"/>
  <c r="X77" i="4"/>
  <c r="D80" i="4"/>
  <c r="E80" i="4" s="1"/>
  <c r="G80" i="4" s="1"/>
  <c r="X13" i="4"/>
  <c r="Y13" i="4" s="1"/>
  <c r="Z13" i="4" s="1"/>
  <c r="AB13" i="4" s="1"/>
  <c r="C24" i="5" a="1"/>
  <c r="C24" i="5" s="1"/>
  <c r="B14" i="5" a="1"/>
  <c r="B14" i="5" s="1"/>
  <c r="Q23" i="4"/>
  <c r="R23" i="4" s="1"/>
  <c r="S23" i="4" s="1"/>
  <c r="U23" i="4" s="1"/>
  <c r="Q20" i="4"/>
  <c r="R20" i="4" s="1"/>
  <c r="S20" i="4" s="1"/>
  <c r="U20" i="4" s="1"/>
  <c r="E47" i="4"/>
  <c r="G47" i="4" s="1"/>
  <c r="H47" i="4" s="1"/>
  <c r="K47" i="4" s="1"/>
  <c r="D26" i="5" a="1"/>
  <c r="D26" i="5" s="1"/>
  <c r="C32" i="4"/>
  <c r="D32" i="4" s="1"/>
  <c r="E32" i="4" s="1"/>
  <c r="G32" i="4" s="1"/>
  <c r="H32" i="4" s="1"/>
  <c r="K32" i="4" s="1"/>
  <c r="X63" i="4"/>
  <c r="Y63" i="4" s="1"/>
  <c r="Z63" i="4" s="1"/>
  <c r="AB63" i="4" s="1"/>
  <c r="Q78" i="4"/>
  <c r="R78" i="4" s="1"/>
  <c r="S78" i="4" s="1"/>
  <c r="U78" i="4" s="1"/>
  <c r="R44" i="4"/>
  <c r="S44" i="4" s="1"/>
  <c r="U44" i="4" s="1"/>
  <c r="Q12" i="4"/>
  <c r="R12" i="4" s="1"/>
  <c r="S12" i="4" s="1"/>
  <c r="U12" i="4" s="1"/>
  <c r="X24" i="4"/>
  <c r="Y24" i="4" s="1"/>
  <c r="Z24" i="4" s="1"/>
  <c r="AB24" i="4" s="1"/>
  <c r="Q41" i="4"/>
  <c r="X78" i="4"/>
  <c r="X68" i="4"/>
  <c r="C18" i="4"/>
  <c r="X67" i="4"/>
  <c r="Y67" i="4" s="1"/>
  <c r="Z67" i="4" s="1"/>
  <c r="AB67" i="4" s="1"/>
  <c r="Y14" i="4"/>
  <c r="Z14" i="4" s="1"/>
  <c r="AB14" i="4" s="1"/>
  <c r="D17" i="4"/>
  <c r="E17" i="4" s="1"/>
  <c r="G17" i="4" s="1"/>
  <c r="C73" i="4"/>
  <c r="D73" i="4" s="1"/>
  <c r="E73" i="4" s="1"/>
  <c r="G73" i="4" s="1"/>
  <c r="Q64" i="4"/>
  <c r="R64" i="4" s="1"/>
  <c r="C49" i="4"/>
  <c r="Y16" i="4"/>
  <c r="Z16" i="4" s="1"/>
  <c r="AB16" i="4" s="1"/>
  <c r="S8" i="4"/>
  <c r="U8" i="4" s="1"/>
  <c r="C51" i="4"/>
  <c r="C78" i="4"/>
  <c r="D78" i="4" s="1"/>
  <c r="E78" i="4" s="1"/>
  <c r="G78" i="4" s="1"/>
  <c r="H78" i="4" s="1"/>
  <c r="K78" i="4" s="1"/>
  <c r="X12" i="4"/>
  <c r="C46" i="4"/>
  <c r="C34" i="4"/>
  <c r="C72" i="4"/>
  <c r="Q59" i="4"/>
  <c r="C48" i="4"/>
  <c r="C38" i="4"/>
  <c r="D38" i="4" s="1"/>
  <c r="X71" i="4"/>
  <c r="Y71" i="4" s="1"/>
  <c r="H64" i="4"/>
  <c r="K64" i="4" s="1"/>
  <c r="X66" i="4"/>
  <c r="Y66" i="4" s="1"/>
  <c r="C62" i="4"/>
  <c r="D62" i="4" s="1"/>
  <c r="C12" i="4"/>
  <c r="D12" i="4" s="1"/>
  <c r="E12" i="4" s="1"/>
  <c r="G12" i="4" s="1"/>
  <c r="H12" i="4" s="1"/>
  <c r="K12" i="4" s="1"/>
  <c r="B36" i="3"/>
  <c r="C26" i="4"/>
  <c r="C25" i="4"/>
  <c r="C10" i="4"/>
  <c r="C9" i="4"/>
  <c r="C23" i="4"/>
  <c r="D23" i="4" s="1"/>
  <c r="E23" i="4" s="1"/>
  <c r="G23" i="4" s="1"/>
  <c r="C24" i="4"/>
  <c r="Q6" i="4"/>
  <c r="R6" i="4" s="1"/>
  <c r="S6" i="4" s="1"/>
  <c r="U6" i="4" s="1"/>
  <c r="X33" i="4"/>
  <c r="X18" i="4"/>
  <c r="Y18" i="4" s="1"/>
  <c r="Z18" i="4" s="1"/>
  <c r="AB18" i="4" s="1"/>
  <c r="R73" i="4"/>
  <c r="S73" i="4" s="1"/>
  <c r="U73" i="4" s="1"/>
  <c r="Q62" i="4"/>
  <c r="R62" i="4" s="1"/>
  <c r="C76" i="4"/>
  <c r="D76" i="4" s="1"/>
  <c r="E76" i="4" s="1"/>
  <c r="G76" i="4" s="1"/>
  <c r="X46" i="4"/>
  <c r="Y46" i="4" s="1"/>
  <c r="Z46" i="4" s="1"/>
  <c r="AB46" i="4" s="1"/>
  <c r="Q22" i="4"/>
  <c r="R22" i="4" s="1"/>
  <c r="S22" i="4" s="1"/>
  <c r="U22" i="4" s="1"/>
  <c r="X15" i="4"/>
  <c r="Z26" i="4"/>
  <c r="AB26" i="4" s="1"/>
  <c r="X57" i="4"/>
  <c r="Y57" i="4" s="1"/>
  <c r="Z57" i="4" s="1"/>
  <c r="AB57" i="4" s="1"/>
  <c r="Q66" i="4"/>
  <c r="Q76" i="4"/>
  <c r="R76" i="4" s="1"/>
  <c r="S76" i="4" s="1"/>
  <c r="U76" i="4" s="1"/>
  <c r="C61" i="4"/>
  <c r="C65" i="4"/>
  <c r="C6" i="4"/>
  <c r="C68" i="4"/>
  <c r="X85" i="4"/>
  <c r="Y85" i="4" s="1"/>
  <c r="Z85" i="4" s="1"/>
  <c r="AB85" i="4" s="1"/>
  <c r="Q61" i="4"/>
  <c r="C56" i="4"/>
  <c r="D56" i="4" s="1"/>
  <c r="E56" i="4" s="1"/>
  <c r="G56" i="4" s="1"/>
  <c r="H56" i="4" s="1"/>
  <c r="C75" i="4"/>
  <c r="C36" i="4"/>
  <c r="C63" i="4"/>
  <c r="D63" i="4" s="1"/>
  <c r="C85" i="4"/>
  <c r="C39" i="4"/>
  <c r="D39" i="4"/>
  <c r="X38" i="4"/>
  <c r="C66" i="4"/>
  <c r="D66" i="4" s="1"/>
  <c r="E66" i="4" s="1"/>
  <c r="G66" i="4" s="1"/>
  <c r="J66" i="4" s="1"/>
  <c r="C11" i="4"/>
  <c r="D11" i="4" s="1"/>
  <c r="E11" i="4" s="1"/>
  <c r="G11" i="4" s="1"/>
  <c r="Q31" i="4"/>
  <c r="R31" i="4" s="1"/>
  <c r="C82" i="4"/>
  <c r="D82" i="4" s="1"/>
  <c r="E82" i="4" s="1"/>
  <c r="G82" i="4" s="1"/>
  <c r="Q74" i="4"/>
  <c r="Q75" i="4"/>
  <c r="C50" i="4"/>
  <c r="D50" i="4"/>
  <c r="C77" i="4"/>
  <c r="D77" i="4" s="1"/>
  <c r="E77" i="4" s="1"/>
  <c r="G77" i="4" s="1"/>
  <c r="H77" i="4" s="1"/>
  <c r="K77" i="4" s="1"/>
  <c r="X49" i="4"/>
  <c r="Y49" i="4" s="1"/>
  <c r="Z49" i="4" s="1"/>
  <c r="AB49" i="4" s="1"/>
  <c r="Q42" i="4"/>
  <c r="C37" i="4"/>
  <c r="R9" i="4"/>
  <c r="S9" i="4" s="1"/>
  <c r="U9" i="4" s="1"/>
  <c r="Y68" i="4"/>
  <c r="Z68" i="4" s="1"/>
  <c r="AB68" i="4" s="1"/>
  <c r="C44" i="4"/>
  <c r="C59" i="4"/>
  <c r="Q72" i="4"/>
  <c r="R72" i="4" s="1"/>
  <c r="C35" i="4"/>
  <c r="D35" i="4" s="1"/>
  <c r="E35" i="4" s="1"/>
  <c r="G35" i="4" s="1"/>
  <c r="H35" i="4" s="1"/>
  <c r="K35" i="4" s="1"/>
  <c r="C45" i="4"/>
  <c r="D45" i="4" s="1"/>
  <c r="E45" i="4" s="1"/>
  <c r="G45" i="4" s="1"/>
  <c r="H45" i="4" s="1"/>
  <c r="K45" i="4" s="1"/>
  <c r="X69" i="4"/>
  <c r="Y69" i="4" s="1"/>
  <c r="Q43" i="4"/>
  <c r="J82" i="4"/>
  <c r="H82" i="4"/>
  <c r="K82" i="4" s="1"/>
  <c r="Q68" i="4"/>
  <c r="R68" i="4" s="1"/>
  <c r="X39" i="4"/>
  <c r="X6" i="4"/>
  <c r="Z75" i="4"/>
  <c r="AB75" i="4" s="1"/>
  <c r="X45" i="4"/>
  <c r="X21" i="4"/>
  <c r="Y21" i="4" s="1"/>
  <c r="X25" i="4"/>
  <c r="Y25" i="4"/>
  <c r="Y61" i="4"/>
  <c r="Z61" i="4" s="1"/>
  <c r="AB61" i="4" s="1"/>
  <c r="Z74" i="4"/>
  <c r="AB74" i="4" s="1"/>
  <c r="Y78" i="4"/>
  <c r="Z78" i="4" s="1"/>
  <c r="AB78" i="4" s="1"/>
  <c r="Q80" i="4"/>
  <c r="R80" i="4" s="1"/>
  <c r="Q51" i="4"/>
  <c r="R51" i="4"/>
  <c r="Q46" i="4"/>
  <c r="R46" i="4" s="1"/>
  <c r="D79" i="4"/>
  <c r="E79" i="4" s="1"/>
  <c r="G79" i="4" s="1"/>
  <c r="R25" i="4"/>
  <c r="S25" i="4" s="1"/>
  <c r="U25" i="4" s="1"/>
  <c r="R58" i="4"/>
  <c r="S58" i="4" s="1"/>
  <c r="U58" i="4" s="1"/>
  <c r="Q15" i="4"/>
  <c r="R15" i="4" s="1"/>
  <c r="X73" i="4"/>
  <c r="Y73" i="4" s="1"/>
  <c r="X8" i="4"/>
  <c r="Y76" i="4"/>
  <c r="Z76" i="4" s="1"/>
  <c r="AB76" i="4" s="1"/>
  <c r="E41" i="4"/>
  <c r="G41" i="4" s="1"/>
  <c r="Q33" i="4"/>
  <c r="R33" i="4" s="1"/>
  <c r="X7" i="4"/>
  <c r="Y7" i="4" s="1"/>
  <c r="S40" i="4"/>
  <c r="U40" i="4" s="1"/>
  <c r="Q82" i="4"/>
  <c r="R67" i="4"/>
  <c r="S67" i="4" s="1"/>
  <c r="U67" i="4" s="1"/>
  <c r="Z58" i="4"/>
  <c r="AB58" i="4" s="1"/>
  <c r="R56" i="4"/>
  <c r="Q63" i="4"/>
  <c r="R63" i="4" s="1"/>
  <c r="R84" i="4"/>
  <c r="S84" i="4" s="1"/>
  <c r="U84" i="4" s="1"/>
  <c r="R37" i="4"/>
  <c r="S37" i="4" s="1"/>
  <c r="U37" i="4" s="1"/>
  <c r="X56" i="4"/>
  <c r="Y56" i="4" s="1"/>
  <c r="Q35" i="4"/>
  <c r="R35" i="4"/>
  <c r="R18" i="4"/>
  <c r="S18" i="4" s="1"/>
  <c r="U18" i="4" s="1"/>
  <c r="Y75" i="4"/>
  <c r="X36" i="4"/>
  <c r="Y36" i="4" s="1"/>
  <c r="Z83" i="4"/>
  <c r="AB83" i="4" s="1"/>
  <c r="Q48" i="4"/>
  <c r="R48" i="4" s="1"/>
  <c r="Y41" i="4"/>
  <c r="Z41" i="4" s="1"/>
  <c r="AB41" i="4" s="1"/>
  <c r="X17" i="4"/>
  <c r="Q47" i="4"/>
  <c r="R47" i="4" s="1"/>
  <c r="Q36" i="4"/>
  <c r="R36" i="4" s="1"/>
  <c r="X51" i="4"/>
  <c r="Y51" i="4" s="1"/>
  <c r="E21" i="4"/>
  <c r="G21" i="4" s="1"/>
  <c r="D69" i="4"/>
  <c r="E69" i="4" s="1"/>
  <c r="G69" i="4" s="1"/>
  <c r="D67" i="4"/>
  <c r="E67" i="4" s="1"/>
  <c r="G67" i="4" s="1"/>
  <c r="H76" i="4"/>
  <c r="K76" i="4" s="1"/>
  <c r="J76" i="4"/>
  <c r="Q13" i="4"/>
  <c r="R13" i="4" s="1"/>
  <c r="X20" i="4"/>
  <c r="Y20" i="4" s="1"/>
  <c r="Q10" i="4"/>
  <c r="R10" i="4" s="1"/>
  <c r="X23" i="4"/>
  <c r="X22" i="4"/>
  <c r="Q38" i="4"/>
  <c r="R38" i="4" s="1"/>
  <c r="J60" i="4"/>
  <c r="X70" i="4"/>
  <c r="Y70" i="4" s="1"/>
  <c r="R81" i="4"/>
  <c r="S81" i="4" s="1"/>
  <c r="U81" i="4" s="1"/>
  <c r="R86" i="4"/>
  <c r="S86" i="4" s="1"/>
  <c r="U86" i="4" s="1"/>
  <c r="Q49" i="4"/>
  <c r="R49" i="4" s="1"/>
  <c r="Q71" i="4"/>
  <c r="X37" i="4"/>
  <c r="Y37" i="4" s="1"/>
  <c r="Q16" i="4"/>
  <c r="Q34" i="4"/>
  <c r="R34" i="4"/>
  <c r="X59" i="4"/>
  <c r="Y59" i="4" s="1"/>
  <c r="Q24" i="4"/>
  <c r="Q77" i="4"/>
  <c r="R77" i="4" s="1"/>
  <c r="X40" i="4"/>
  <c r="Y40" i="4" s="1"/>
  <c r="Y43" i="4"/>
  <c r="Z43" i="4" s="1"/>
  <c r="AB43" i="4" s="1"/>
  <c r="Q50" i="4"/>
  <c r="R50" i="4" s="1"/>
  <c r="X19" i="4"/>
  <c r="Y19" i="4" s="1"/>
  <c r="Q57" i="4"/>
  <c r="R57" i="4" s="1"/>
  <c r="Y80" i="4"/>
  <c r="Z80" i="4" s="1"/>
  <c r="AB80" i="4" s="1"/>
  <c r="Y81" i="4"/>
  <c r="Z81" i="4" s="1"/>
  <c r="AB81" i="4" s="1"/>
  <c r="S79" i="4"/>
  <c r="U79" i="4" s="1"/>
  <c r="X34" i="4"/>
  <c r="Y34" i="4" s="1"/>
  <c r="X31" i="4"/>
  <c r="S69" i="4"/>
  <c r="U69" i="4" s="1"/>
  <c r="Q85" i="4"/>
  <c r="R85" i="4" s="1"/>
  <c r="E81" i="4"/>
  <c r="G81" i="4" s="1"/>
  <c r="X35" i="4"/>
  <c r="Y35" i="4" s="1"/>
  <c r="X9" i="4"/>
  <c r="Y9" i="4" s="1"/>
  <c r="X50" i="4"/>
  <c r="Y50" i="4" s="1"/>
  <c r="X84" i="4"/>
  <c r="Y84" i="4" s="1"/>
  <c r="Q32" i="4"/>
  <c r="R32" i="4" s="1"/>
  <c r="Q14" i="4"/>
  <c r="R14" i="4" s="1"/>
  <c r="D42" i="4"/>
  <c r="E42" i="4" s="1"/>
  <c r="G42" i="4" s="1"/>
  <c r="Y64" i="4"/>
  <c r="Z64" i="4" s="1"/>
  <c r="AB64" i="4" s="1"/>
  <c r="S11" i="4"/>
  <c r="U11" i="4" s="1"/>
  <c r="J84" i="4" l="1"/>
  <c r="H84" i="4"/>
  <c r="K84" i="4" s="1"/>
  <c r="D36" i="3"/>
  <c r="D31" i="2"/>
  <c r="B31" i="2"/>
  <c r="I78" i="4"/>
  <c r="M78" i="4" s="1"/>
  <c r="J12" i="4"/>
  <c r="J35" i="4"/>
  <c r="S45" i="4"/>
  <c r="U45" i="4" s="1"/>
  <c r="I45" i="4" s="1"/>
  <c r="M45" i="4" s="1"/>
  <c r="S26" i="4"/>
  <c r="U26" i="4" s="1"/>
  <c r="AC26" i="4" s="1"/>
  <c r="Z47" i="4"/>
  <c r="AB47" i="4" s="1"/>
  <c r="S39" i="4"/>
  <c r="U39" i="4" s="1"/>
  <c r="Z86" i="4"/>
  <c r="AB86" i="4" s="1"/>
  <c r="AC86" i="4" s="1"/>
  <c r="N86" i="4" s="1"/>
  <c r="S56" i="4"/>
  <c r="U56" i="4" s="1"/>
  <c r="S65" i="4"/>
  <c r="U65" i="4" s="1"/>
  <c r="AC65" i="4" s="1"/>
  <c r="Z79" i="4"/>
  <c r="AB79" i="4" s="1"/>
  <c r="Z11" i="4"/>
  <c r="AB11" i="4" s="1"/>
  <c r="AC11" i="4" s="1"/>
  <c r="Z72" i="4"/>
  <c r="AB72" i="4" s="1"/>
  <c r="E83" i="4"/>
  <c r="G83" i="4" s="1"/>
  <c r="S83" i="4"/>
  <c r="U83" i="4" s="1"/>
  <c r="AC83" i="4" s="1"/>
  <c r="H71" i="4"/>
  <c r="K71" i="4" s="1"/>
  <c r="J71" i="4"/>
  <c r="J47" i="4"/>
  <c r="Z60" i="4"/>
  <c r="AB60" i="4" s="1"/>
  <c r="J78" i="4"/>
  <c r="I23" i="4"/>
  <c r="M23" i="4" s="1"/>
  <c r="E74" i="4"/>
  <c r="G74" i="4" s="1"/>
  <c r="J74" i="4" s="1"/>
  <c r="J16" i="4"/>
  <c r="H19" i="4"/>
  <c r="K19" i="4" s="1"/>
  <c r="S60" i="4"/>
  <c r="U60" i="4" s="1"/>
  <c r="I60" i="4" s="1"/>
  <c r="M60" i="4" s="1"/>
  <c r="I19" i="4"/>
  <c r="M19" i="4" s="1"/>
  <c r="J13" i="4"/>
  <c r="J15" i="4"/>
  <c r="E20" i="4"/>
  <c r="G20" i="4" s="1"/>
  <c r="I20" i="4" s="1"/>
  <c r="M20" i="4" s="1"/>
  <c r="S21" i="4"/>
  <c r="U21" i="4" s="1"/>
  <c r="I21" i="4" s="1"/>
  <c r="H14" i="4"/>
  <c r="K14" i="4" s="1"/>
  <c r="E8" i="4"/>
  <c r="G8" i="4" s="1"/>
  <c r="I8" i="4" s="1"/>
  <c r="M8" i="4" s="1"/>
  <c r="S7" i="4"/>
  <c r="U7" i="4" s="1"/>
  <c r="AC18" i="4"/>
  <c r="Z82" i="4"/>
  <c r="AB82" i="4" s="1"/>
  <c r="I12" i="4"/>
  <c r="M12" i="4" s="1"/>
  <c r="E40" i="4"/>
  <c r="G40" i="4" s="1"/>
  <c r="I40" i="4" s="1"/>
  <c r="E7" i="4"/>
  <c r="G7" i="4" s="1"/>
  <c r="J7" i="4" s="1"/>
  <c r="J32" i="4"/>
  <c r="I70" i="4"/>
  <c r="M70" i="4" s="1"/>
  <c r="H70" i="4"/>
  <c r="K70" i="4" s="1"/>
  <c r="J70" i="4"/>
  <c r="AC67" i="4"/>
  <c r="H80" i="4"/>
  <c r="K80" i="4" s="1"/>
  <c r="J80" i="4"/>
  <c r="C26" i="5" a="1"/>
  <c r="C26" i="5" s="1"/>
  <c r="B15" i="5"/>
  <c r="R41" i="4"/>
  <c r="S41" i="4" s="1"/>
  <c r="U41" i="4" s="1"/>
  <c r="H33" i="4"/>
  <c r="K33" i="4" s="1"/>
  <c r="H66" i="4"/>
  <c r="K66" i="4" s="1"/>
  <c r="Y77" i="4"/>
  <c r="Z77" i="4" s="1"/>
  <c r="AB77" i="4" s="1"/>
  <c r="AC78" i="4"/>
  <c r="N78" i="4" s="1"/>
  <c r="D18" i="4"/>
  <c r="E18" i="4" s="1"/>
  <c r="G18" i="4" s="1"/>
  <c r="J73" i="4"/>
  <c r="H73" i="4"/>
  <c r="K73" i="4" s="1"/>
  <c r="I73" i="4"/>
  <c r="M73" i="4" s="1"/>
  <c r="J58" i="4"/>
  <c r="H58" i="4"/>
  <c r="K58" i="4" s="1"/>
  <c r="H22" i="4"/>
  <c r="K22" i="4" s="1"/>
  <c r="J22" i="4"/>
  <c r="I22" i="4"/>
  <c r="M22" i="4" s="1"/>
  <c r="H86" i="4"/>
  <c r="K86" i="4" s="1"/>
  <c r="I86" i="4"/>
  <c r="M86" i="4" s="1"/>
  <c r="J86" i="4"/>
  <c r="H17" i="4"/>
  <c r="K17" i="4" s="1"/>
  <c r="J17" i="4"/>
  <c r="I17" i="4"/>
  <c r="M17" i="4" s="1"/>
  <c r="H57" i="4"/>
  <c r="K57" i="4" s="1"/>
  <c r="J57" i="4"/>
  <c r="Z66" i="4"/>
  <c r="AB66" i="4" s="1"/>
  <c r="D72" i="4"/>
  <c r="E72" i="4" s="1"/>
  <c r="G72" i="4" s="1"/>
  <c r="Y33" i="4"/>
  <c r="Z33" i="4" s="1"/>
  <c r="AB33" i="4" s="1"/>
  <c r="E63" i="4"/>
  <c r="G63" i="4" s="1"/>
  <c r="D24" i="4"/>
  <c r="E24" i="4" s="1"/>
  <c r="G24" i="4" s="1"/>
  <c r="D34" i="4"/>
  <c r="E34" i="4" s="1"/>
  <c r="G34" i="4" s="1"/>
  <c r="R42" i="4"/>
  <c r="S42" i="4" s="1"/>
  <c r="U42" i="4" s="1"/>
  <c r="E50" i="4"/>
  <c r="G50" i="4" s="1"/>
  <c r="H23" i="4"/>
  <c r="K23" i="4" s="1"/>
  <c r="J23" i="4"/>
  <c r="Z71" i="4"/>
  <c r="AB71" i="4" s="1"/>
  <c r="E39" i="4"/>
  <c r="G39" i="4" s="1"/>
  <c r="R66" i="4"/>
  <c r="S66" i="4" s="1"/>
  <c r="U66" i="4" s="1"/>
  <c r="I66" i="4" s="1"/>
  <c r="J77" i="4"/>
  <c r="S72" i="4"/>
  <c r="U72" i="4" s="1"/>
  <c r="AC72" i="4" s="1"/>
  <c r="R75" i="4"/>
  <c r="S75" i="4" s="1"/>
  <c r="U75" i="4" s="1"/>
  <c r="AC75" i="4" s="1"/>
  <c r="D36" i="4"/>
  <c r="E36" i="4" s="1"/>
  <c r="G36" i="4" s="1"/>
  <c r="D9" i="4"/>
  <c r="E9" i="4" s="1"/>
  <c r="G9" i="4" s="1"/>
  <c r="E38" i="4"/>
  <c r="G38" i="4" s="1"/>
  <c r="D46" i="4"/>
  <c r="E46" i="4" s="1"/>
  <c r="G46" i="4" s="1"/>
  <c r="H8" i="4"/>
  <c r="K8" i="4" s="1"/>
  <c r="D10" i="4"/>
  <c r="E10" i="4" s="1"/>
  <c r="G10" i="4" s="1"/>
  <c r="AC81" i="4"/>
  <c r="Y15" i="4"/>
  <c r="Z15" i="4" s="1"/>
  <c r="AB15" i="4" s="1"/>
  <c r="D25" i="4"/>
  <c r="E25" i="4" s="1"/>
  <c r="G25" i="4" s="1"/>
  <c r="D49" i="4"/>
  <c r="E49" i="4" s="1"/>
  <c r="G49" i="4" s="1"/>
  <c r="R43" i="4"/>
  <c r="S43" i="4" s="1"/>
  <c r="U43" i="4" s="1"/>
  <c r="Z69" i="4"/>
  <c r="AB69" i="4" s="1"/>
  <c r="AC69" i="4" s="1"/>
  <c r="D59" i="4"/>
  <c r="E59" i="4" s="1"/>
  <c r="G59" i="4" s="1"/>
  <c r="R61" i="4"/>
  <c r="S61" i="4" s="1"/>
  <c r="U61" i="4" s="1"/>
  <c r="AC61" i="4" s="1"/>
  <c r="D26" i="4"/>
  <c r="E26" i="4" s="1"/>
  <c r="G26" i="4" s="1"/>
  <c r="D48" i="4"/>
  <c r="E48" i="4" s="1"/>
  <c r="G48" i="4" s="1"/>
  <c r="D44" i="4"/>
  <c r="E44" i="4" s="1"/>
  <c r="G44" i="4" s="1"/>
  <c r="S31" i="4"/>
  <c r="U31" i="4" s="1"/>
  <c r="S64" i="4"/>
  <c r="U64" i="4" s="1"/>
  <c r="I64" i="4" s="1"/>
  <c r="D61" i="4"/>
  <c r="E61" i="4" s="1"/>
  <c r="G61" i="4" s="1"/>
  <c r="D85" i="4"/>
  <c r="E85" i="4" s="1"/>
  <c r="G85" i="4" s="1"/>
  <c r="R74" i="4"/>
  <c r="S74" i="4" s="1"/>
  <c r="U74" i="4" s="1"/>
  <c r="H11" i="4"/>
  <c r="K11" i="4" s="1"/>
  <c r="J11" i="4"/>
  <c r="D68" i="4"/>
  <c r="E68" i="4"/>
  <c r="G68" i="4" s="1"/>
  <c r="Y12" i="4"/>
  <c r="Z12" i="4" s="1"/>
  <c r="AB12" i="4" s="1"/>
  <c r="AC12" i="4" s="1"/>
  <c r="S47" i="4"/>
  <c r="U47" i="4" s="1"/>
  <c r="D75" i="4"/>
  <c r="E75" i="4" s="1"/>
  <c r="G75" i="4" s="1"/>
  <c r="J45" i="4"/>
  <c r="D6" i="4"/>
  <c r="E6" i="4" s="1"/>
  <c r="G6" i="4" s="1"/>
  <c r="H6" i="4" s="1"/>
  <c r="Z35" i="4"/>
  <c r="AB35" i="4" s="1"/>
  <c r="AC79" i="4"/>
  <c r="D37" i="4"/>
  <c r="E37" i="4" s="1"/>
  <c r="G37" i="4" s="1"/>
  <c r="Y38" i="4"/>
  <c r="Z38" i="4" s="1"/>
  <c r="AB38" i="4" s="1"/>
  <c r="D65" i="4"/>
  <c r="E65" i="4" s="1"/>
  <c r="G65" i="4" s="1"/>
  <c r="I65" i="4" s="1"/>
  <c r="S62" i="4"/>
  <c r="U62" i="4" s="1"/>
  <c r="AC62" i="4" s="1"/>
  <c r="E62" i="4"/>
  <c r="G62" i="4" s="1"/>
  <c r="R59" i="4"/>
  <c r="S59" i="4" s="1"/>
  <c r="U59" i="4" s="1"/>
  <c r="D51" i="4"/>
  <c r="E51" i="4" s="1"/>
  <c r="G51" i="4" s="1"/>
  <c r="AC58" i="4"/>
  <c r="I58" i="4"/>
  <c r="J69" i="4"/>
  <c r="H69" i="4"/>
  <c r="K69" i="4" s="1"/>
  <c r="I69" i="4"/>
  <c r="I84" i="4"/>
  <c r="J43" i="4"/>
  <c r="H43" i="4"/>
  <c r="K43" i="4" s="1"/>
  <c r="H79" i="4"/>
  <c r="K79" i="4" s="1"/>
  <c r="I79" i="4"/>
  <c r="J79" i="4"/>
  <c r="I67" i="4"/>
  <c r="J67" i="4"/>
  <c r="H67" i="4"/>
  <c r="K67" i="4" s="1"/>
  <c r="Z73" i="4"/>
  <c r="AB73" i="4" s="1"/>
  <c r="AC73" i="4" s="1"/>
  <c r="Z59" i="4"/>
  <c r="AB59" i="4" s="1"/>
  <c r="Z25" i="4"/>
  <c r="AB25" i="4" s="1"/>
  <c r="AC25" i="4" s="1"/>
  <c r="Z9" i="4"/>
  <c r="AB9" i="4" s="1"/>
  <c r="AC9" i="4" s="1"/>
  <c r="S10" i="4"/>
  <c r="U10" i="4" s="1"/>
  <c r="R82" i="4"/>
  <c r="S82" i="4" s="1"/>
  <c r="U82" i="4" s="1"/>
  <c r="Z20" i="4"/>
  <c r="AB20" i="4" s="1"/>
  <c r="AC20" i="4" s="1"/>
  <c r="S15" i="4"/>
  <c r="U15" i="4" s="1"/>
  <c r="Z21" i="4"/>
  <c r="AB21" i="4" s="1"/>
  <c r="Z36" i="4"/>
  <c r="AB36" i="4" s="1"/>
  <c r="S63" i="4"/>
  <c r="U63" i="4" s="1"/>
  <c r="S14" i="4"/>
  <c r="U14" i="4" s="1"/>
  <c r="S13" i="4"/>
  <c r="U13" i="4" s="1"/>
  <c r="S36" i="4"/>
  <c r="U36" i="4" s="1"/>
  <c r="S48" i="4"/>
  <c r="U48" i="4" s="1"/>
  <c r="S33" i="4"/>
  <c r="U33" i="4" s="1"/>
  <c r="Y6" i="4"/>
  <c r="Z6" i="4" s="1"/>
  <c r="AB6" i="4" s="1"/>
  <c r="Z37" i="4"/>
  <c r="AB37" i="4" s="1"/>
  <c r="AC37" i="4" s="1"/>
  <c r="AC76" i="4"/>
  <c r="J41" i="4"/>
  <c r="H41" i="4"/>
  <c r="K41" i="4" s="1"/>
  <c r="S46" i="4"/>
  <c r="U46" i="4" s="1"/>
  <c r="J42" i="4"/>
  <c r="H42" i="4"/>
  <c r="K42" i="4" s="1"/>
  <c r="S68" i="4"/>
  <c r="U68" i="4" s="1"/>
  <c r="Z51" i="4"/>
  <c r="AB51" i="4" s="1"/>
  <c r="S50" i="4"/>
  <c r="U50" i="4" s="1"/>
  <c r="S34" i="4"/>
  <c r="U34" i="4" s="1"/>
  <c r="R71" i="4"/>
  <c r="S71" i="4" s="1"/>
  <c r="U71" i="4" s="1"/>
  <c r="J83" i="4"/>
  <c r="Z70" i="4"/>
  <c r="AB70" i="4" s="1"/>
  <c r="AC70" i="4" s="1"/>
  <c r="Z50" i="4"/>
  <c r="AB50" i="4" s="1"/>
  <c r="R24" i="4"/>
  <c r="S24" i="4" s="1"/>
  <c r="U24" i="4" s="1"/>
  <c r="Y23" i="4"/>
  <c r="Z23" i="4" s="1"/>
  <c r="AB23" i="4" s="1"/>
  <c r="AC23" i="4" s="1"/>
  <c r="S57" i="4"/>
  <c r="U57" i="4" s="1"/>
  <c r="I57" i="4" s="1"/>
  <c r="M57" i="4" s="1"/>
  <c r="Z7" i="4"/>
  <c r="AB7" i="4" s="1"/>
  <c r="S38" i="4"/>
  <c r="U38" i="4" s="1"/>
  <c r="S32" i="4"/>
  <c r="U32" i="4" s="1"/>
  <c r="I32" i="4" s="1"/>
  <c r="M32" i="4" s="1"/>
  <c r="J81" i="4"/>
  <c r="H81" i="4"/>
  <c r="K81" i="4" s="1"/>
  <c r="I81" i="4"/>
  <c r="I76" i="4"/>
  <c r="S35" i="4"/>
  <c r="U35" i="4" s="1"/>
  <c r="S51" i="4"/>
  <c r="U51" i="4" s="1"/>
  <c r="R16" i="4"/>
  <c r="S16" i="4" s="1"/>
  <c r="U16" i="4" s="1"/>
  <c r="I11" i="4"/>
  <c r="Z40" i="4"/>
  <c r="AB40" i="4" s="1"/>
  <c r="AC40" i="4" s="1"/>
  <c r="Z84" i="4"/>
  <c r="AB84" i="4" s="1"/>
  <c r="AC84" i="4" s="1"/>
  <c r="S77" i="4"/>
  <c r="U77" i="4" s="1"/>
  <c r="S49" i="4"/>
  <c r="U49" i="4" s="1"/>
  <c r="Y22" i="4"/>
  <c r="Z22" i="4" s="1"/>
  <c r="AB22" i="4" s="1"/>
  <c r="AC22" i="4" s="1"/>
  <c r="Y17" i="4"/>
  <c r="Z17" i="4" s="1"/>
  <c r="AB17" i="4" s="1"/>
  <c r="AC17" i="4" s="1"/>
  <c r="Y45" i="4"/>
  <c r="Z45" i="4" s="1"/>
  <c r="AB45" i="4" s="1"/>
  <c r="AC45" i="4" s="1"/>
  <c r="Y8" i="4"/>
  <c r="Z8" i="4" s="1"/>
  <c r="AB8" i="4" s="1"/>
  <c r="AC8" i="4" s="1"/>
  <c r="S85" i="4"/>
  <c r="U85" i="4" s="1"/>
  <c r="H21" i="4"/>
  <c r="K21" i="4" s="1"/>
  <c r="J21" i="4"/>
  <c r="Y31" i="4"/>
  <c r="Z31" i="4" s="1"/>
  <c r="AB31" i="4" s="1"/>
  <c r="Z34" i="4"/>
  <c r="AB34" i="4" s="1"/>
  <c r="Z19" i="4"/>
  <c r="AB19" i="4" s="1"/>
  <c r="AC19" i="4" s="1"/>
  <c r="Z56" i="4"/>
  <c r="AB56" i="4" s="1"/>
  <c r="S80" i="4"/>
  <c r="U80" i="4" s="1"/>
  <c r="Y39" i="4"/>
  <c r="Z39" i="4" s="1"/>
  <c r="AB39" i="4" s="1"/>
  <c r="N45" i="4" l="1"/>
  <c r="I83" i="4"/>
  <c r="AC39" i="4"/>
  <c r="N8" i="4"/>
  <c r="J8" i="4"/>
  <c r="AC43" i="4"/>
  <c r="I43" i="4"/>
  <c r="AC21" i="4"/>
  <c r="N70" i="4"/>
  <c r="N12" i="4"/>
  <c r="AC64" i="4"/>
  <c r="N64" i="4" s="1"/>
  <c r="H7" i="4"/>
  <c r="K7" i="4" s="1"/>
  <c r="H83" i="4"/>
  <c r="K83" i="4" s="1"/>
  <c r="H74" i="4"/>
  <c r="K74" i="4" s="1"/>
  <c r="AC42" i="4"/>
  <c r="I42" i="4"/>
  <c r="AC60" i="4"/>
  <c r="N60" i="4" s="1"/>
  <c r="H40" i="4"/>
  <c r="K40" i="4" s="1"/>
  <c r="I7" i="4"/>
  <c r="M7" i="4" s="1"/>
  <c r="J40" i="4"/>
  <c r="N19" i="4"/>
  <c r="N20" i="4"/>
  <c r="N22" i="4"/>
  <c r="N23" i="4"/>
  <c r="AC59" i="4"/>
  <c r="H20" i="4"/>
  <c r="K20" i="4" s="1"/>
  <c r="J20" i="4"/>
  <c r="AC41" i="4"/>
  <c r="I41" i="4"/>
  <c r="M41" i="4" s="1"/>
  <c r="H18" i="4"/>
  <c r="K18" i="4" s="1"/>
  <c r="J18" i="4"/>
  <c r="I18" i="4"/>
  <c r="B16" i="5" a="1"/>
  <c r="B16" i="5" s="1"/>
  <c r="B17" i="5" s="1" a="1"/>
  <c r="B17" i="5" s="1"/>
  <c r="N73" i="4"/>
  <c r="AC74" i="4"/>
  <c r="I74" i="4"/>
  <c r="N74" i="4" s="1"/>
  <c r="J24" i="4"/>
  <c r="H24" i="4"/>
  <c r="K24" i="4" s="1"/>
  <c r="I9" i="4"/>
  <c r="M9" i="4" s="1"/>
  <c r="H9" i="4"/>
  <c r="K9" i="4" s="1"/>
  <c r="J9" i="4"/>
  <c r="J51" i="4"/>
  <c r="H51" i="4"/>
  <c r="K51" i="4" s="1"/>
  <c r="H75" i="4"/>
  <c r="K75" i="4" s="1"/>
  <c r="J75" i="4"/>
  <c r="I75" i="4"/>
  <c r="N75" i="4" s="1"/>
  <c r="J37" i="4"/>
  <c r="H37" i="4"/>
  <c r="K37" i="4" s="1"/>
  <c r="I37" i="4"/>
  <c r="J61" i="4"/>
  <c r="H61" i="4"/>
  <c r="K61" i="4" s="1"/>
  <c r="I61" i="4"/>
  <c r="N61" i="4" s="1"/>
  <c r="I59" i="4"/>
  <c r="N59" i="4" s="1"/>
  <c r="J26" i="4"/>
  <c r="H26" i="4"/>
  <c r="K26" i="4" s="1"/>
  <c r="I26" i="4"/>
  <c r="N26" i="4" s="1"/>
  <c r="H10" i="4"/>
  <c r="K10" i="4" s="1"/>
  <c r="J10" i="4"/>
  <c r="J25" i="4"/>
  <c r="H25" i="4"/>
  <c r="K25" i="4" s="1"/>
  <c r="I25" i="4"/>
  <c r="N25" i="4" s="1"/>
  <c r="M66" i="4"/>
  <c r="H72" i="4"/>
  <c r="K72" i="4" s="1"/>
  <c r="I72" i="4"/>
  <c r="M72" i="4" s="1"/>
  <c r="J72" i="4"/>
  <c r="H85" i="4"/>
  <c r="K85" i="4" s="1"/>
  <c r="J85" i="4"/>
  <c r="H39" i="4"/>
  <c r="K39" i="4" s="1"/>
  <c r="J39" i="4"/>
  <c r="J65" i="4"/>
  <c r="H65" i="4"/>
  <c r="K65" i="4" s="1"/>
  <c r="H46" i="4"/>
  <c r="K46" i="4" s="1"/>
  <c r="J46" i="4"/>
  <c r="H34" i="4"/>
  <c r="K34" i="4" s="1"/>
  <c r="J34" i="4"/>
  <c r="AC47" i="4"/>
  <c r="I47" i="4"/>
  <c r="H44" i="4"/>
  <c r="K44" i="4" s="1"/>
  <c r="J44" i="4"/>
  <c r="I44" i="4"/>
  <c r="J48" i="4"/>
  <c r="H48" i="4"/>
  <c r="K48" i="4" s="1"/>
  <c r="H36" i="4"/>
  <c r="K36" i="4" s="1"/>
  <c r="J36" i="4"/>
  <c r="H49" i="4"/>
  <c r="K49" i="4" s="1"/>
  <c r="J49" i="4"/>
  <c r="N17" i="4"/>
  <c r="J68" i="4"/>
  <c r="H68" i="4"/>
  <c r="K68" i="4" s="1"/>
  <c r="H50" i="4"/>
  <c r="K50" i="4" s="1"/>
  <c r="J50" i="4"/>
  <c r="H63" i="4"/>
  <c r="K63" i="4" s="1"/>
  <c r="J63" i="4"/>
  <c r="AC66" i="4"/>
  <c r="N66" i="4" s="1"/>
  <c r="H59" i="4"/>
  <c r="K59" i="4" s="1"/>
  <c r="J59" i="4"/>
  <c r="J62" i="4"/>
  <c r="H62" i="4"/>
  <c r="K62" i="4" s="1"/>
  <c r="I62" i="4"/>
  <c r="J38" i="4"/>
  <c r="H38" i="4"/>
  <c r="K38" i="4" s="1"/>
  <c r="I39" i="4"/>
  <c r="N39" i="4" s="1"/>
  <c r="AC10" i="4"/>
  <c r="I10" i="4"/>
  <c r="M43" i="4"/>
  <c r="N43" i="4"/>
  <c r="N84" i="4"/>
  <c r="M84" i="4"/>
  <c r="AC68" i="4"/>
  <c r="I68" i="4"/>
  <c r="M40" i="4"/>
  <c r="N40" i="4"/>
  <c r="N21" i="4"/>
  <c r="M21" i="4"/>
  <c r="M64" i="4"/>
  <c r="AC24" i="4"/>
  <c r="I24" i="4"/>
  <c r="AC13" i="4"/>
  <c r="I13" i="4"/>
  <c r="AC82" i="4"/>
  <c r="I82" i="4"/>
  <c r="M11" i="4"/>
  <c r="N11" i="4"/>
  <c r="AC85" i="4"/>
  <c r="I85" i="4"/>
  <c r="AC38" i="4"/>
  <c r="I38" i="4"/>
  <c r="M42" i="4"/>
  <c r="N42" i="4"/>
  <c r="AC14" i="4"/>
  <c r="I14" i="4"/>
  <c r="N67" i="4"/>
  <c r="M67" i="4"/>
  <c r="AC15" i="4"/>
  <c r="I15" i="4"/>
  <c r="AC63" i="4"/>
  <c r="I63" i="4"/>
  <c r="AC36" i="4"/>
  <c r="I36" i="4"/>
  <c r="AC46" i="4"/>
  <c r="I46" i="4"/>
  <c r="AC80" i="4"/>
  <c r="I80" i="4"/>
  <c r="AC35" i="4"/>
  <c r="I35" i="4"/>
  <c r="N76" i="4"/>
  <c r="M76" i="4"/>
  <c r="N58" i="4"/>
  <c r="M58" i="4"/>
  <c r="AC77" i="4"/>
  <c r="I77" i="4"/>
  <c r="AC71" i="4"/>
  <c r="I71" i="4"/>
  <c r="AC51" i="4"/>
  <c r="I51" i="4"/>
  <c r="N69" i="4"/>
  <c r="M69" i="4"/>
  <c r="AC50" i="4"/>
  <c r="I50" i="4"/>
  <c r="N81" i="4"/>
  <c r="M81" i="4"/>
  <c r="AC16" i="4"/>
  <c r="I16" i="4"/>
  <c r="N65" i="4"/>
  <c r="M65" i="4"/>
  <c r="AC33" i="4"/>
  <c r="I33" i="4"/>
  <c r="N79" i="4"/>
  <c r="M79" i="4"/>
  <c r="N37" i="4"/>
  <c r="M37" i="4"/>
  <c r="N83" i="4"/>
  <c r="M83" i="4"/>
  <c r="AC34" i="4"/>
  <c r="I34" i="4"/>
  <c r="AC49" i="4"/>
  <c r="I49" i="4"/>
  <c r="AC48" i="4"/>
  <c r="I48" i="4"/>
  <c r="M61" i="4" l="1"/>
  <c r="N41" i="4"/>
  <c r="M39" i="4"/>
  <c r="M74" i="4"/>
  <c r="D41" i="5" a="1"/>
  <c r="D41" i="5" s="1"/>
  <c r="C41" i="5" a="1"/>
  <c r="C41" i="5" s="1"/>
  <c r="E41" i="5" a="1"/>
  <c r="E41" i="5" s="1"/>
  <c r="N9" i="4"/>
  <c r="M18" i="4"/>
  <c r="N18" i="4"/>
  <c r="M26" i="4"/>
  <c r="B36" i="2" s="1" a="1"/>
  <c r="B36" i="2" s="1"/>
  <c r="D36" i="2" s="1" a="1"/>
  <c r="D36" i="2" s="1"/>
  <c r="B18" i="5" a="1"/>
  <c r="B18" i="5" s="1"/>
  <c r="N72" i="4"/>
  <c r="N62" i="4"/>
  <c r="M62" i="4"/>
  <c r="M75" i="4"/>
  <c r="M25" i="4"/>
  <c r="N44" i="4"/>
  <c r="M44" i="4"/>
  <c r="M59" i="4"/>
  <c r="M47" i="4"/>
  <c r="N47" i="4"/>
  <c r="N49" i="4"/>
  <c r="M49" i="4"/>
  <c r="N50" i="4"/>
  <c r="M50" i="4"/>
  <c r="M82" i="4"/>
  <c r="N82" i="4"/>
  <c r="N48" i="4"/>
  <c r="M48" i="4"/>
  <c r="M80" i="4"/>
  <c r="N80" i="4"/>
  <c r="N14" i="4"/>
  <c r="M14" i="4"/>
  <c r="N24" i="4"/>
  <c r="M24" i="4"/>
  <c r="N10" i="4"/>
  <c r="M10" i="4"/>
  <c r="N15" i="4"/>
  <c r="M15" i="4"/>
  <c r="N51" i="4"/>
  <c r="M51" i="4"/>
  <c r="M77" i="4"/>
  <c r="N77" i="4"/>
  <c r="N36" i="4"/>
  <c r="M36" i="4"/>
  <c r="N63" i="4"/>
  <c r="M63" i="4"/>
  <c r="N35" i="4"/>
  <c r="M35" i="4"/>
  <c r="N13" i="4"/>
  <c r="M13" i="4"/>
  <c r="N71" i="4"/>
  <c r="M71" i="4"/>
  <c r="M46" i="4"/>
  <c r="N46" i="4"/>
  <c r="N38" i="4"/>
  <c r="M38" i="4"/>
  <c r="N85" i="4"/>
  <c r="M85" i="4"/>
  <c r="N33" i="4"/>
  <c r="M33" i="4"/>
  <c r="M68" i="4"/>
  <c r="N68" i="4"/>
  <c r="N34" i="4"/>
  <c r="M34" i="4"/>
  <c r="N16" i="4"/>
  <c r="M16" i="4"/>
  <c r="B19" i="5" l="1" a="1"/>
  <c r="B19" i="5" s="1"/>
  <c r="C35" i="2"/>
  <c r="E93" i="4"/>
  <c r="C93" i="4"/>
  <c r="F24" i="5" a="1"/>
  <c r="F24" i="5" s="1"/>
  <c r="G24" i="5" s="1" a="1"/>
  <c r="G24" i="5" s="1"/>
  <c r="F23" i="5" a="1"/>
  <c r="F23" i="5" s="1"/>
  <c r="F25" i="5" a="1"/>
  <c r="F25" i="5" s="1"/>
  <c r="G25" i="5" s="1" a="1"/>
  <c r="G25" i="5" s="1"/>
  <c r="C46" i="5" a="1"/>
  <c r="C46" i="5" s="1"/>
  <c r="B31" i="5" a="1"/>
  <c r="B31" i="5" s="1"/>
  <c r="B33" i="5" a="1"/>
  <c r="B33" i="5" s="1"/>
  <c r="C91" i="4"/>
  <c r="E92" i="4"/>
  <c r="C92" i="4"/>
  <c r="E91" i="4"/>
  <c r="D91" i="4" l="1" a="1"/>
  <c r="D91" i="4" s="1"/>
  <c r="D32" i="2" a="1"/>
  <c r="D32" i="2" s="1"/>
  <c r="B32" i="2"/>
  <c r="D92" i="4" a="1"/>
  <c r="D92" i="4" s="1"/>
  <c r="D33" i="2" a="1"/>
  <c r="D33" i="2" s="1"/>
  <c r="B33" i="2"/>
  <c r="D93" i="4" a="1"/>
  <c r="D93" i="4" s="1"/>
  <c r="D34" i="2" a="1"/>
  <c r="D34" i="2" s="1"/>
  <c r="B34" i="2"/>
  <c r="B46" i="5" a="1"/>
  <c r="B46" i="5" s="1"/>
  <c r="G23" i="5" a="1"/>
  <c r="G23" i="5" s="1"/>
  <c r="G26" i="5" s="1" a="1"/>
  <c r="G26" i="5" s="1"/>
  <c r="F26" i="5" a="1"/>
  <c r="F26" i="5" s="1"/>
  <c r="D46" i="5" l="1" a="1"/>
  <c r="D46" i="5" s="1"/>
  <c r="D35" i="2"/>
  <c r="B3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<sst xmlns="http://schemas.openxmlformats.org/spreadsheetml/2006/main" count="330" uniqueCount="217">
  <si>
    <t>Inputs — The Named Contract</t>
  </si>
  <si>
    <t>The only sheet containing typed numbers. Blue = typed input; black = derived formula. Derived values store the relationship, never a rounded result.</t>
  </si>
  <si>
    <t>Farm-level inputs</t>
  </si>
  <si>
    <t>Named range</t>
  </si>
  <si>
    <t>Value</t>
  </si>
  <si>
    <t>Unit</t>
  </si>
  <si>
    <t>Derived from</t>
  </si>
  <si>
    <t>Source</t>
  </si>
  <si>
    <t>season_weeks</t>
  </si>
  <si>
    <t>weeks</t>
  </si>
  <si>
    <t>—</t>
  </si>
  <si>
    <t>case README — scenario table</t>
  </si>
  <si>
    <t>beds_total</t>
  </si>
  <si>
    <t>beds</t>
  </si>
  <si>
    <t>fixed_costs</t>
  </si>
  <si>
    <t>$/season</t>
  </si>
  <si>
    <t>Labor inputs</t>
  </si>
  <si>
    <t>farmer_salary</t>
  </si>
  <si>
    <t>farmer_hrs_wk</t>
  </si>
  <si>
    <t>hrs/week</t>
  </si>
  <si>
    <t>farmer_field_pct</t>
  </si>
  <si>
    <t>share</t>
  </si>
  <si>
    <t>farmer_hrs_paid</t>
  </si>
  <si>
    <t>hrs/season</t>
  </si>
  <si>
    <t>farmer_hrs_wk * season_weeks</t>
  </si>
  <si>
    <t>derived</t>
  </si>
  <si>
    <t>farmer_hrs_field</t>
  </si>
  <si>
    <t>farmer_hrs_paid * farmer_field_pct</t>
  </si>
  <si>
    <t>farmer_wage</t>
  </si>
  <si>
    <t>$/hr</t>
  </si>
  <si>
    <t>farmer_salary / farmer_hrs_paid</t>
  </si>
  <si>
    <t>temp_salary</t>
  </si>
  <si>
    <t>$/season/worker</t>
  </si>
  <si>
    <t>temp_hrs_each</t>
  </si>
  <si>
    <t>hrs/worker</t>
  </si>
  <si>
    <t>— (given; deliberately not derived)</t>
  </si>
  <si>
    <t>temp_wage</t>
  </si>
  <si>
    <t>temp_salary / temp_hrs_each</t>
  </si>
  <si>
    <t>temp_max</t>
  </si>
  <si>
    <t>workers</t>
  </si>
  <si>
    <t>temp_hrs_avail</t>
  </si>
  <si>
    <t>temp_max * temp_hrs_each</t>
  </si>
  <si>
    <t>Crop inputs</t>
  </si>
  <si>
    <t>tomato_crop</t>
  </si>
  <si>
    <t>carrot_crop</t>
  </si>
  <si>
    <t>mesclun_crop</t>
  </si>
  <si>
    <t>&lt;crop&gt;_crop_price</t>
  </si>
  <si>
    <t>$/bed</t>
  </si>
  <si>
    <t>case README — crop table</t>
  </si>
  <si>
    <t>&lt;crop&gt;_crop_fert</t>
  </si>
  <si>
    <t>&lt;crop&gt;_crop_dim</t>
  </si>
  <si>
    <t>per bed</t>
  </si>
  <si>
    <t>&lt;crop&gt;_crop_cap</t>
  </si>
  <si>
    <t>&lt;crop&gt;_crop_hrswk</t>
  </si>
  <si>
    <t>hrs/week/bed</t>
  </si>
  <si>
    <t>case README — tomato, and ÷3 / ÷2 ratios</t>
  </si>
  <si>
    <t>Validation anchors (§4.1, §4.3)</t>
  </si>
  <si>
    <t>Check</t>
  </si>
  <si>
    <t>Model</t>
  </si>
  <si>
    <t>Required</t>
  </si>
  <si>
    <t>Status</t>
  </si>
  <si>
    <t>Note</t>
  </si>
  <si>
    <t>Tomato labor hrs at q=1</t>
  </si>
  <si>
    <t>passes even with a flat (1+dim) bug — useless alone</t>
  </si>
  <si>
    <t>Tomato labor hrs at q=10</t>
  </si>
  <si>
    <t>catches a dropped exponent (flat bug returns 990.0)</t>
  </si>
  <si>
    <t>farmer_hrs_field * farmer_wage</t>
  </si>
  <si>
    <t>confirms wage denominator is 1,440 not 720</t>
  </si>
  <si>
    <t>MC Schedules — standalone marginal cost, independent of the mix</t>
  </si>
  <si>
    <t>Tomato — standalone schedule (q = 0 to tomato_crop_cap)</t>
  </si>
  <si>
    <t>q</t>
  </si>
  <si>
    <t>hrs</t>
  </si>
  <si>
    <t>perm_hrs</t>
  </si>
  <si>
    <t>temp_hrs</t>
  </si>
  <si>
    <t>labor</t>
  </si>
  <si>
    <t>fert</t>
  </si>
  <si>
    <t>vc</t>
  </si>
  <si>
    <t>tc</t>
  </si>
  <si>
    <t>mc</t>
  </si>
  <si>
    <t>avc</t>
  </si>
  <si>
    <t>atc</t>
  </si>
  <si>
    <t>price</t>
  </si>
  <si>
    <t>pass</t>
  </si>
  <si>
    <t>fall</t>
  </si>
  <si>
    <t>q_1</t>
  </si>
  <si>
    <t>hrs_1</t>
  </si>
  <si>
    <t>perm_hrs_1</t>
  </si>
  <si>
    <t>temp_hrs_1</t>
  </si>
  <si>
    <t>labor_1</t>
  </si>
  <si>
    <t>fert_1</t>
  </si>
  <si>
    <t>vc_1</t>
  </si>
  <si>
    <t>q_2</t>
  </si>
  <si>
    <t>hrs_2</t>
  </si>
  <si>
    <t>perm_hrs_2</t>
  </si>
  <si>
    <t>temp_hrs_2</t>
  </si>
  <si>
    <t>labor_2</t>
  </si>
  <si>
    <t>fert_2</t>
  </si>
  <si>
    <t>vc_2</t>
  </si>
  <si>
    <t>mc_1</t>
  </si>
  <si>
    <t>Each row takes its q from its own row (blue, structural index). No formula on this sheet references tomato_crop_beds, carrot_crop_beds or mesclun_crop_beds. Helper columns q_1..mc_1 (grouped) restate the prior beds from q alone, so MC is a discrete difference with no back-reference.</t>
  </si>
  <si>
    <t>Carrot — standalone schedule (q = 0 to carrot_crop_cap)</t>
  </si>
  <si>
    <t>Mesclun — standalone schedule (q = 0 to mesclun_crop_cap)</t>
  </si>
  <si>
    <t>Standalone P = MC crossings and MC-falls locations (§3.5, §5.6)</t>
  </si>
  <si>
    <t>Crop</t>
  </si>
  <si>
    <t>Price ($/bed)</t>
  </si>
  <si>
    <t>First upward crossing q</t>
  </si>
  <si>
    <t>MC at crossing</t>
  </si>
  <si>
    <t>First bed where MC falls</t>
  </si>
  <si>
    <t>tomato</t>
  </si>
  <si>
    <t>carrot</t>
  </si>
  <si>
    <t>mesclun</t>
  </si>
  <si>
    <t>Mix — decision, labor build-up, season P&amp;L, constraint status</t>
  </si>
  <si>
    <t>Solver runs here. Delivered at 0 / 0 / 0 per §4.4 — no optimum is typed in by the builder. See README for Solver configuration and both starting points.</t>
  </si>
  <si>
    <t>Decision variables — Solver changing cells (§5.1)</t>
  </si>
  <si>
    <t>tomato_crop_beds</t>
  </si>
  <si>
    <t>beds — integer, Solver-controlled</t>
  </si>
  <si>
    <t>carrot_crop_beds</t>
  </si>
  <si>
    <t>mesclun_crop_beds</t>
  </si>
  <si>
    <t>beds_planted</t>
  </si>
  <si>
    <t>beds — total planted</t>
  </si>
  <si>
    <t>Farm labor build-up (§3.2, §5.3)</t>
  </si>
  <si>
    <t>mix_hrs_tomato</t>
  </si>
  <si>
    <t>hrs/season — LABOR_HRS(tomato, tomato_crop_beds)</t>
  </si>
  <si>
    <t>mix_hrs_carrot</t>
  </si>
  <si>
    <t>hrs/season — LABOR_HRS(carrot, carrot_crop_beds)</t>
  </si>
  <si>
    <t>mix_hrs_mesclun</t>
  </si>
  <si>
    <t>hrs/season — LABOR_HRS(mesclun, mesclun_crop_beds)</t>
  </si>
  <si>
    <t>mix_hrs_total</t>
  </si>
  <si>
    <t>perm_hrs_used</t>
  </si>
  <si>
    <t>hrs — farmer's field hours consumed first (stated costing convention)</t>
  </si>
  <si>
    <t>temp_hrs_used</t>
  </si>
  <si>
    <t>temp_workers_needed</t>
  </si>
  <si>
    <t>workers — fractional workers permitted</t>
  </si>
  <si>
    <t>labor_cost_total</t>
  </si>
  <si>
    <t>$/season — farmer charged only for field hours actually used</t>
  </si>
  <si>
    <t>labor_rate_blended</t>
  </si>
  <si>
    <t>$/hr — guard returns 0 at the 0/0/0 Solver start, avoiding #DIV/0!</t>
  </si>
  <si>
    <t>Per-crop P&amp;L — labor charged at the blended rate (§3.3, §5.4)</t>
  </si>
  <si>
    <t>Beds</t>
  </si>
  <si>
    <t>Labor hrs</t>
  </si>
  <si>
    <t>Revenue</t>
  </si>
  <si>
    <t>Fertilizer cost</t>
  </si>
  <si>
    <t>Allocated labor cost</t>
  </si>
  <si>
    <t>Contribution</t>
  </si>
  <si>
    <t>Total</t>
  </si>
  <si>
    <t>Season P&amp;L (§5.2)</t>
  </si>
  <si>
    <t>revenue_total</t>
  </si>
  <si>
    <t>fert_total</t>
  </si>
  <si>
    <t>$/season — from the labor build-up above</t>
  </si>
  <si>
    <t>$/season — from Inputs</t>
  </si>
  <si>
    <t>season_profit</t>
  </si>
  <si>
    <t>$/season — Solver objective, maximize</t>
  </si>
  <si>
    <t>Constraint status (§2 checks, §5.5)</t>
  </si>
  <si>
    <t>Constraint</t>
  </si>
  <si>
    <t>Limit</t>
  </si>
  <si>
    <t>Used</t>
  </si>
  <si>
    <t>Feasible?</t>
  </si>
  <si>
    <t>Binding or slack</t>
  </si>
  <si>
    <t>Marginal profit of +1 bed (re-solve)</t>
  </si>
  <si>
    <t>Total beds ≤ beds_total</t>
  </si>
  <si>
    <t>n/a — land constraint, not a crop cap</t>
  </si>
  <si>
    <t>tomato_crop_beds ≤ tomato_crop_cap</t>
  </si>
  <si>
    <t>carrot_crop_beds ≤ carrot_crop_cap</t>
  </si>
  <si>
    <t>mesclun_crop_beds ≤ mesclun_crop_cap</t>
  </si>
  <si>
    <t>temp_workers_needed ≤ temp_max</t>
  </si>
  <si>
    <t>n/a — labor capacity, not a crop cap</t>
  </si>
  <si>
    <t>§5.5 marginal-profit cells (yellow) are left empty by the builder — the analyst fills them by raising one cap by a single bed and re-solving from the optimum.</t>
  </si>
  <si>
    <t>Internal checks (§4.3)</t>
  </si>
  <si>
    <t>SUM of c_labor_cost</t>
  </si>
  <si>
    <t>Blended allocation conserves dollars</t>
  </si>
  <si>
    <t>Charts — marginal cost against price, one chart per crop</t>
  </si>
  <si>
    <t>Series read from MC Schedules (standalone schedules). No chart references the mix.</t>
  </si>
  <si>
    <t>Marginal Analysis Model — Perfect Competition</t>
  </si>
  <si>
    <t>Built to spec.md (engagement: perfect-competition · capability: marginal-analysis). Five sheets: README, Inputs, MC Schedules, Mix, Charts.</t>
  </si>
  <si>
    <t>Conventions</t>
  </si>
  <si>
    <t>Named ranges are lowercase with underscores. Per-crop values use &lt;crop&gt;_crop_&lt;attribute&gt;; the three crops are tomato_crop, carrot_crop, mesclun_crop.</t>
  </si>
  <si>
    <t>No formula references a cell address. All logic runs on named ranges, plus table structured references on MC Schedules (tomato_sched, carrot_sched, mesclun_sched).</t>
  </si>
  <si>
    <t>Inputs is the only sheet with typed numbers. Where a value is derived from another input, the sheet stores the formula, never a rounded result.</t>
  </si>
  <si>
    <t>No ROUND / ROUNDUP / ROUNDDOWN or truncation appears anywhere. Rounding is number formatting only; the sheet carries full precision.</t>
  </si>
  <si>
    <t>A constraint is reported BINDING when used &gt;= limit - 0.0001, and slack otherwise. Exact floating-point equality is never relied on.</t>
  </si>
  <si>
    <t>Color key</t>
  </si>
  <si>
    <t>Blue</t>
  </si>
  <si>
    <t>Input — a typed value, traceable to the Component 1 table in spec.md. On MC Schedules the q column is blue: a typed structural row index, not a business input.</t>
  </si>
  <si>
    <t>Black</t>
  </si>
  <si>
    <t>Calculated — must contain a formula. A black cell holding a typed number is a visible violation of the convention.</t>
  </si>
  <si>
    <t>Yellow fill</t>
  </si>
  <si>
    <t>Needs the analyst: the three Solver decision cells on Mix, and the §5.5 marginal-profit cells left empty for the re-solve.</t>
  </si>
  <si>
    <t>Solver setup (§4.4) — operated by the analyst, not by the build tool</t>
  </si>
  <si>
    <t>Engine</t>
  </si>
  <si>
    <t>GRG Nonlinear</t>
  </si>
  <si>
    <t>Objective</t>
  </si>
  <si>
    <t>season_profit (Mix) — Max</t>
  </si>
  <si>
    <t>Changing cells</t>
  </si>
  <si>
    <t>tomato_crop_beds, carrot_crop_beds, mesclun_crop_beds (Mix, yellow)</t>
  </si>
  <si>
    <t>Constraints</t>
  </si>
  <si>
    <t>each *_crop_beds = integer; each *_crop_beds &gt;= 0; beds_planted &lt;= beds_total; tomato_crop_beds &lt;= tomato_crop_cap; carrot_crop_beds &lt;= carrot_crop_cap; mesclun_crop_beds &lt;= mesclun_crop_cap; temp_workers_needed &lt;= temp_max</t>
  </si>
  <si>
    <t>Run 1 — start</t>
  </si>
  <si>
    <t>0 / 0 / 0 (as delivered). Record the resulting mix and season_profit.</t>
  </si>
  <si>
    <t>Run 2 — start</t>
  </si>
  <si>
    <t>20 / 0 / 0. Record the resulting mix and season_profit.</t>
  </si>
  <si>
    <t>If the runs disagree</t>
  </si>
  <si>
    <t>Report the disagreement as path-dependence. Both results are recorded; the worse run is not discarded.</t>
  </si>
  <si>
    <t>§5.5 re-solve</t>
  </si>
  <si>
    <t>For each bed cap: raise that one cap by a single bed, re-run Solver from the optimum, and enter the change in season_profit in the yellow cell on Mix. Not read off the MC schedule.</t>
  </si>
  <si>
    <t>Delivered state</t>
  </si>
  <si>
    <t>Decision cells at 0 / 0 / 0; marginal-profit cells empty. No optimum is typed into the workbook by the builder.</t>
  </si>
  <si>
    <t>Validation status (§4) — live</t>
  </si>
  <si>
    <t>§4.1 Tomato labor hrs at q=1</t>
  </si>
  <si>
    <t>§4.1 Tomato labor hrs at q=10</t>
  </si>
  <si>
    <t>§4.3 farmer_hrs_field * farmer_wage</t>
  </si>
  <si>
    <t>§4.2 Tomato P=MC crossing (±1 bed)</t>
  </si>
  <si>
    <t>§4.2 Carrot P=MC crossing (±1 bed)</t>
  </si>
  <si>
    <t>§4.2 Mesclun P=MC crossing (±1 bed)</t>
  </si>
  <si>
    <t>§4.3 SUM of c_labor_cost = labor_cost_total</t>
  </si>
  <si>
    <t>§4.3 Error cells in the three schedules</t>
  </si>
  <si>
    <t>§4.2 Season profit: verified during the build at the published mix 10 / 20 / 30 — model returned $42,761.66 against a required $42,762 (within the $1 band). The workbook is delivered at 0 / 0 / 0, so this row is a build-time record, not a live check; re-check it after Solver runs.</t>
  </si>
  <si>
    <t>§4.5 Independent cross-check against the Farm Profit Lab reference implementation (mid-model labor hours, not only profit) is the analyst's step and is not recorded in this workbook.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</si>
</sst>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$&quot;#,##0;\(&quot;$&quot;#,##0\);\-"/>
    <numFmt numFmtId="165" formatCode="0.0%"/>
    <numFmt numFmtId="166" formatCode="#,##0.0"/>
    <numFmt numFmtId="167" formatCode="&quot;$&quot;#,##0.0000"/>
    <numFmt numFmtId="168" formatCode="&quot;$&quot;#,##0.00"/>
    <numFmt numFmtId="169" formatCode="&quot;$&quot;#,##0"/>
    <numFmt numFmtId="170" formatCode="#,##0.0;\(#,##0.0\);\-"/>
    <numFmt numFmtId="171" formatCode="0;;\-"/>
    <numFmt numFmtId="172" formatCode="#,##0.000;\(#,##0.000\);\-"/>
  </numFmts>
  <fonts count="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2"/>
      <color rgb="FF595959"/>
      <name val="Aptos Narrow"/>
      <family val="2"/>
      <scheme val="minor"/>
    </font>
    <font>
      <sz val="12"/>
      <color rgb="FF0000FF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rgb="FF0000FF"/>
      <name val="Aptos Narrow"/>
      <family val="2"/>
      <scheme val="minor"/>
    </font>
    <font>
      <b/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1" fillId="0" borderId="0" xfId="0" applyFont="1" applyAlignment="1">
      <alignment horizontal="right"/>
    </xf>
    <xf numFmtId="1" fontId="4" fillId="0" borderId="0" xfId="0" applyNumberFormat="1" applyFont="1"/>
    <xf numFmtId="164" fontId="4" fillId="0" borderId="0" xfId="0" applyNumberFormat="1" applyFont="1"/>
    <xf numFmtId="165" fontId="4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3" fontId="4" fillId="0" borderId="0" xfId="0" applyNumberFormat="1" applyFont="1"/>
    <xf numFmtId="3" fontId="5" fillId="0" borderId="0" xfId="0" applyNumberFormat="1" applyFont="1"/>
    <xf numFmtId="10" fontId="4" fillId="0" borderId="0" xfId="0" applyNumberFormat="1" applyFont="1"/>
    <xf numFmtId="2" fontId="4" fillId="0" borderId="0" xfId="0" applyNumberFormat="1" applyFont="1"/>
    <xf numFmtId="2" fontId="5" fillId="0" borderId="0" xfId="0" applyNumberFormat="1" applyFont="1"/>
    <xf numFmtId="166" fontId="0" fillId="0" borderId="0" xfId="0" applyNumberFormat="1"/>
    <xf numFmtId="166" fontId="4" fillId="0" borderId="0" xfId="0" applyNumberFormat="1" applyFont="1"/>
    <xf numFmtId="168" fontId="0" fillId="0" borderId="0" xfId="0" applyNumberFormat="1"/>
    <xf numFmtId="168" fontId="4" fillId="0" borderId="0" xfId="0" applyNumberFormat="1" applyFont="1"/>
    <xf numFmtId="169" fontId="0" fillId="0" borderId="0" xfId="0" applyNumberFormat="1"/>
    <xf numFmtId="170" fontId="5" fillId="0" borderId="0" xfId="0" applyNumberFormat="1" applyFont="1"/>
    <xf numFmtId="164" fontId="5" fillId="0" borderId="0" xfId="0" applyNumberFormat="1" applyFont="1"/>
    <xf numFmtId="171" fontId="5" fillId="0" borderId="0" xfId="0" applyNumberFormat="1" applyFont="1"/>
    <xf numFmtId="1" fontId="4" fillId="3" borderId="0" xfId="0" applyNumberFormat="1" applyFont="1" applyFill="1"/>
    <xf numFmtId="1" fontId="1" fillId="0" borderId="0" xfId="0" applyNumberFormat="1" applyFont="1"/>
    <xf numFmtId="170" fontId="0" fillId="0" borderId="0" xfId="0" applyNumberFormat="1"/>
    <xf numFmtId="170" fontId="1" fillId="0" borderId="0" xfId="0" applyNumberFormat="1" applyFont="1"/>
    <xf numFmtId="172" fontId="0" fillId="0" borderId="0" xfId="0" applyNumberFormat="1"/>
    <xf numFmtId="164" fontId="1" fillId="0" borderId="0" xfId="0" applyNumberFormat="1" applyFont="1"/>
    <xf numFmtId="167" fontId="0" fillId="0" borderId="0" xfId="0" applyNumberFormat="1"/>
    <xf numFmtId="1" fontId="0" fillId="0" borderId="0" xfId="0" applyNumberFormat="1"/>
    <xf numFmtId="164" fontId="0" fillId="0" borderId="0" xfId="0" applyNumberFormat="1"/>
    <xf numFmtId="164" fontId="0" fillId="3" borderId="0" xfId="0" applyNumberFormat="1" applyFill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3" borderId="0" xfId="0" applyFont="1" applyFill="1"/>
  </cellXfs>
  <cellStyles count="1">
    <cellStyle name="Normal" xfId="0" builtinId="0"/>
  </cellStyles>
  <dxfs count="87"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1" formatCode="0;;\-"/>
    </dxf>
    <dxf>
      <font>
        <color rgb="FF000000"/>
      </font>
      <numFmt numFmtId="171" formatCode="0;;\-"/>
    </dxf>
    <dxf>
      <font>
        <color rgb="FF000000"/>
      </font>
      <numFmt numFmtId="164" formatCode="&quot;$&quot;#,##0;\(&quot;$&quot;#,##0\);\-"/>
    </dxf>
    <dxf>
      <font>
        <color rgb="FF000000"/>
      </font>
      <numFmt numFmtId="164" formatCode="&quot;$&quot;#,##0;\(&quot;$&quot;#,##0\);\-"/>
    </dxf>
    <dxf>
      <font>
        <color rgb="FF000000"/>
      </font>
      <numFmt numFmtId="164" formatCode="&quot;$&quot;#,##0;\(&quot;$&quot;#,##0\);\-"/>
    </dxf>
    <dxf>
      <font>
        <color rgb="FF000000"/>
      </font>
      <numFmt numFmtId="164" formatCode="&quot;$&quot;#,##0;\(&quot;$&quot;#,##0\);\-"/>
    </dxf>
    <dxf>
      <font>
        <color rgb="FF000000"/>
      </font>
      <numFmt numFmtId="164" formatCode="&quot;$&quot;#,##0;\(&quot;$&quot;#,##0\);\-"/>
    </dxf>
    <dxf>
      <font>
        <color rgb="FF000000"/>
      </font>
      <numFmt numFmtId="164" formatCode="&quot;$&quot;#,##0;\(&quot;$&quot;#,##0\);\-"/>
    </dxf>
    <dxf>
      <font>
        <color rgb="FF000000"/>
      </font>
      <numFmt numFmtId="164" formatCode="&quot;$&quot;#,##0;\(&quot;$&quot;#,##0\);\-"/>
    </dxf>
    <dxf>
      <font>
        <color rgb="FF000000"/>
      </font>
      <numFmt numFmtId="164" formatCode="&quot;$&quot;#,##0;\(&quot;$&quot;#,##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FF"/>
      </font>
      <numFmt numFmtId="1" formatCode="0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1" formatCode="0;;\-"/>
    </dxf>
    <dxf>
      <font>
        <color rgb="FF000000"/>
      </font>
      <numFmt numFmtId="171" formatCode="0;;\-"/>
    </dxf>
    <dxf>
      <font>
        <color rgb="FF000000"/>
      </font>
      <numFmt numFmtId="164" formatCode="&quot;$&quot;#,##0;\(&quot;$&quot;#,##0\);\-"/>
    </dxf>
    <dxf>
      <font>
        <color rgb="FF000000"/>
      </font>
      <numFmt numFmtId="164" formatCode="&quot;$&quot;#,##0;\(&quot;$&quot;#,##0\);\-"/>
    </dxf>
    <dxf>
      <font>
        <color rgb="FF000000"/>
      </font>
      <numFmt numFmtId="164" formatCode="&quot;$&quot;#,##0;\(&quot;$&quot;#,##0\);\-"/>
    </dxf>
    <dxf>
      <font>
        <color rgb="FF000000"/>
      </font>
      <numFmt numFmtId="164" formatCode="&quot;$&quot;#,##0;\(&quot;$&quot;#,##0\);\-"/>
    </dxf>
    <dxf>
      <font>
        <color rgb="FF000000"/>
      </font>
      <numFmt numFmtId="164" formatCode="&quot;$&quot;#,##0;\(&quot;$&quot;#,##0\);\-"/>
    </dxf>
    <dxf>
      <font>
        <color rgb="FF000000"/>
      </font>
      <numFmt numFmtId="164" formatCode="&quot;$&quot;#,##0;\(&quot;$&quot;#,##0\);\-"/>
    </dxf>
    <dxf>
      <font>
        <color rgb="FF000000"/>
      </font>
      <numFmt numFmtId="164" formatCode="&quot;$&quot;#,##0;\(&quot;$&quot;#,##0\);\-"/>
    </dxf>
    <dxf>
      <font>
        <color rgb="FF000000"/>
      </font>
      <numFmt numFmtId="164" formatCode="&quot;$&quot;#,##0;\(&quot;$&quot;#,##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FF"/>
      </font>
      <numFmt numFmtId="1" formatCode="0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1" formatCode="0;;\-"/>
    </dxf>
    <dxf>
      <font>
        <color rgb="FF000000"/>
      </font>
      <numFmt numFmtId="171" formatCode="0;;\-"/>
    </dxf>
    <dxf>
      <font>
        <color rgb="FF000000"/>
      </font>
      <numFmt numFmtId="164" formatCode="&quot;$&quot;#,##0;\(&quot;$&quot;#,##0\);\-"/>
    </dxf>
    <dxf>
      <font>
        <color rgb="FF000000"/>
      </font>
      <numFmt numFmtId="164" formatCode="&quot;$&quot;#,##0;\(&quot;$&quot;#,##0\);\-"/>
    </dxf>
    <dxf>
      <font>
        <color rgb="FF000000"/>
      </font>
      <numFmt numFmtId="164" formatCode="&quot;$&quot;#,##0;\(&quot;$&quot;#,##0\);\-"/>
    </dxf>
    <dxf>
      <font>
        <color rgb="FF000000"/>
      </font>
      <numFmt numFmtId="164" formatCode="&quot;$&quot;#,##0;\(&quot;$&quot;#,##0\);\-"/>
    </dxf>
    <dxf>
      <font>
        <color rgb="FF000000"/>
      </font>
      <numFmt numFmtId="164" formatCode="&quot;$&quot;#,##0;\(&quot;$&quot;#,##0\);\-"/>
    </dxf>
    <dxf>
      <font>
        <color rgb="FF000000"/>
      </font>
      <numFmt numFmtId="164" formatCode="&quot;$&quot;#,##0;\(&quot;$&quot;#,##0\);\-"/>
    </dxf>
    <dxf>
      <font>
        <color rgb="FF000000"/>
      </font>
      <numFmt numFmtId="164" formatCode="&quot;$&quot;#,##0;\(&quot;$&quot;#,##0\);\-"/>
    </dxf>
    <dxf>
      <font>
        <color rgb="FF000000"/>
      </font>
      <numFmt numFmtId="164" formatCode="&quot;$&quot;#,##0;\(&quot;$&quot;#,##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00"/>
      </font>
      <numFmt numFmtId="170" formatCode="#,##0.0;\(#,##0.0\);\-"/>
    </dxf>
    <dxf>
      <font>
        <color rgb="FF0000FF"/>
      </font>
      <numFmt numFmtId="1" formatCode="0"/>
    </dxf>
    <dxf>
      <font>
        <color rgb="FF000000"/>
      </font>
    </dxf>
    <dxf>
      <font>
        <color rgb="FF000000"/>
      </font>
    </dxf>
    <dxf>
      <font>
        <color rgb="FF0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Tomato — marginal cost vs price (standalone)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MC ($/bed)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'MC Schedules'!$A$7:$A$26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'MC Schedules'!$I$7:$I$26</c:f>
              <c:numCache>
                <c:formatCode>"$"#,##0;\("$"#,##0\);\-</c:formatCode>
                <c:ptCount val="20"/>
                <c:pt idx="0">
                  <c:v>4317.5</c:v>
                </c:pt>
                <c:pt idx="1">
                  <c:v>5005</c:v>
                </c:pt>
                <c:pt idx="2">
                  <c:v>5795.6250000000036</c:v>
                </c:pt>
                <c:pt idx="3">
                  <c:v>6703.125</c:v>
                </c:pt>
                <c:pt idx="4">
                  <c:v>7660.859375</c:v>
                </c:pt>
                <c:pt idx="5">
                  <c:v>4906.2750000000051</c:v>
                </c:pt>
                <c:pt idx="6">
                  <c:v>5585.7089062500017</c:v>
                </c:pt>
                <c:pt idx="7">
                  <c:v>6360.7668437500033</c:v>
                </c:pt>
                <c:pt idx="8">
                  <c:v>7243.7792796875074</c:v>
                </c:pt>
                <c:pt idx="9">
                  <c:v>8248.586534375012</c:v>
                </c:pt>
                <c:pt idx="10">
                  <c:v>9390.7174472031256</c:v>
                </c:pt>
                <c:pt idx="11">
                  <c:v>10687.588677253138</c:v>
                </c:pt>
                <c:pt idx="12">
                  <c:v>12158.726978841107</c:v>
                </c:pt>
                <c:pt idx="13">
                  <c:v>13826.017053974152</c:v>
                </c:pt>
                <c:pt idx="14">
                  <c:v>15713.977874345364</c:v>
                </c:pt>
                <c:pt idx="15">
                  <c:v>17850.070688251115</c:v>
                </c:pt>
                <c:pt idx="16">
                  <c:v>20265.042286194512</c:v>
                </c:pt>
                <c:pt idx="17">
                  <c:v>22993.307496844121</c:v>
                </c:pt>
                <c:pt idx="18">
                  <c:v>26073.375326761772</c:v>
                </c:pt>
                <c:pt idx="19">
                  <c:v>29548.323647694342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D1-504A-BD0C-08EED8EDB551}"/>
            </c:ext>
          </c:extLst>
        </c:ser>
        <c:ser>
          <c:idx val="1"/>
          <c:order val="1"/>
          <c:tx>
            <c:v>Price ($/bed)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'MC Schedules'!$A$7:$A$26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'MC Schedules'!$L$7:$L$26</c:f>
              <c:numCache>
                <c:formatCode>"$"#,##0;\("$"#,##0\);\-</c:formatCode>
                <c:ptCount val="20"/>
                <c:pt idx="0">
                  <c:v>8800</c:v>
                </c:pt>
                <c:pt idx="1">
                  <c:v>8800</c:v>
                </c:pt>
                <c:pt idx="2">
                  <c:v>8800</c:v>
                </c:pt>
                <c:pt idx="3">
                  <c:v>8800</c:v>
                </c:pt>
                <c:pt idx="4">
                  <c:v>8800</c:v>
                </c:pt>
                <c:pt idx="5">
                  <c:v>8800</c:v>
                </c:pt>
                <c:pt idx="6">
                  <c:v>8800</c:v>
                </c:pt>
                <c:pt idx="7">
                  <c:v>8800</c:v>
                </c:pt>
                <c:pt idx="8">
                  <c:v>8800</c:v>
                </c:pt>
                <c:pt idx="9">
                  <c:v>8800</c:v>
                </c:pt>
                <c:pt idx="10">
                  <c:v>8800</c:v>
                </c:pt>
                <c:pt idx="11">
                  <c:v>8800</c:v>
                </c:pt>
                <c:pt idx="12">
                  <c:v>8800</c:v>
                </c:pt>
                <c:pt idx="13">
                  <c:v>8800</c:v>
                </c:pt>
                <c:pt idx="14">
                  <c:v>8800</c:v>
                </c:pt>
                <c:pt idx="15">
                  <c:v>8800</c:v>
                </c:pt>
                <c:pt idx="16">
                  <c:v>8800</c:v>
                </c:pt>
                <c:pt idx="17">
                  <c:v>8800</c:v>
                </c:pt>
                <c:pt idx="18">
                  <c:v>8800</c:v>
                </c:pt>
                <c:pt idx="19">
                  <c:v>8800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D1-504A-BD0C-08EED8EDB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9761087"/>
        <c:axId val="216872064"/>
      </c:lineChart>
      <c:catAx>
        <c:axId val="20997610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 (beds)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6872064"/>
        <c:crosses val="autoZero"/>
        <c:auto val="1"/>
        <c:lblAlgn val="ctr"/>
        <c:lblOffset val="100"/>
        <c:noMultiLvlLbl val="0"/>
      </c:catAx>
      <c:valAx>
        <c:axId val="216872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$ per bed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;\(&quot;$&quot;#,##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9761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Carrot — marginal cost vs price (standalone)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MC ($/bed)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'MC Schedules'!$A$32:$A$51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'MC Schedules'!$I$32:$I$51</c:f>
              <c:numCache>
                <c:formatCode>"$"#,##0;\("$"#,##0\);\-</c:formatCode>
                <c:ptCount val="20"/>
                <c:pt idx="0">
                  <c:v>1507.7083333333333</c:v>
                </c:pt>
                <c:pt idx="1">
                  <c:v>1561.0937499999998</c:v>
                </c:pt>
                <c:pt idx="2">
                  <c:v>1616.481119791667</c:v>
                </c:pt>
                <c:pt idx="3">
                  <c:v>1673.9371744791652</c:v>
                </c:pt>
                <c:pt idx="4">
                  <c:v>1733.530731201171</c:v>
                </c:pt>
                <c:pt idx="5">
                  <c:v>1795.332755025227</c:v>
                </c:pt>
                <c:pt idx="6">
                  <c:v>1859.4164233334868</c:v>
                </c:pt>
                <c:pt idx="7">
                  <c:v>1925.8571920852646</c:v>
                </c:pt>
                <c:pt idx="8">
                  <c:v>1994.7328640100477</c:v>
                </c:pt>
                <c:pt idx="9">
                  <c:v>2066.1236587860258</c:v>
                </c:pt>
                <c:pt idx="10">
                  <c:v>2140.1122852607878</c:v>
                </c:pt>
                <c:pt idx="11">
                  <c:v>2216.7840157725441</c:v>
                </c:pt>
                <c:pt idx="12">
                  <c:v>2296.2267626316061</c:v>
                </c:pt>
                <c:pt idx="13">
                  <c:v>2378.5311568237667</c:v>
                </c:pt>
                <c:pt idx="14">
                  <c:v>2463.7906289988823</c:v>
                </c:pt>
                <c:pt idx="15">
                  <c:v>2552.1014928097429</c:v>
                </c:pt>
                <c:pt idx="16">
                  <c:v>1670.9013431626554</c:v>
                </c:pt>
                <c:pt idx="17">
                  <c:v>1589.1387909931072</c:v>
                </c:pt>
                <c:pt idx="18">
                  <c:v>1638.1753169880685</c:v>
                </c:pt>
                <c:pt idx="19">
                  <c:v>1688.9454575384007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5F-0544-98A3-8E6125523A56}"/>
            </c:ext>
          </c:extLst>
        </c:ser>
        <c:ser>
          <c:idx val="1"/>
          <c:order val="1"/>
          <c:tx>
            <c:v>Price ($/bed)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'MC Schedules'!$A$32:$A$51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'MC Schedules'!$L$32:$L$51</c:f>
              <c:numCache>
                <c:formatCode>"$"#,##0;\("$"#,##0\);\-</c:formatCode>
                <c:ptCount val="20"/>
                <c:pt idx="0">
                  <c:v>2094</c:v>
                </c:pt>
                <c:pt idx="1">
                  <c:v>2094</c:v>
                </c:pt>
                <c:pt idx="2">
                  <c:v>2094</c:v>
                </c:pt>
                <c:pt idx="3">
                  <c:v>2094</c:v>
                </c:pt>
                <c:pt idx="4">
                  <c:v>2094</c:v>
                </c:pt>
                <c:pt idx="5">
                  <c:v>2094</c:v>
                </c:pt>
                <c:pt idx="6">
                  <c:v>2094</c:v>
                </c:pt>
                <c:pt idx="7">
                  <c:v>2094</c:v>
                </c:pt>
                <c:pt idx="8">
                  <c:v>2094</c:v>
                </c:pt>
                <c:pt idx="9">
                  <c:v>2094</c:v>
                </c:pt>
                <c:pt idx="10">
                  <c:v>2094</c:v>
                </c:pt>
                <c:pt idx="11">
                  <c:v>2094</c:v>
                </c:pt>
                <c:pt idx="12">
                  <c:v>2094</c:v>
                </c:pt>
                <c:pt idx="13">
                  <c:v>2094</c:v>
                </c:pt>
                <c:pt idx="14">
                  <c:v>2094</c:v>
                </c:pt>
                <c:pt idx="15">
                  <c:v>2094</c:v>
                </c:pt>
                <c:pt idx="16">
                  <c:v>2094</c:v>
                </c:pt>
                <c:pt idx="17">
                  <c:v>2094</c:v>
                </c:pt>
                <c:pt idx="18">
                  <c:v>2094</c:v>
                </c:pt>
                <c:pt idx="19">
                  <c:v>2094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5F-0544-98A3-8E6125523A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8201408"/>
        <c:axId val="217679616"/>
      </c:lineChart>
      <c:catAx>
        <c:axId val="218201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 (beds)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7679616"/>
        <c:crosses val="autoZero"/>
        <c:auto val="1"/>
        <c:lblAlgn val="ctr"/>
        <c:lblOffset val="100"/>
        <c:noMultiLvlLbl val="0"/>
      </c:catAx>
      <c:valAx>
        <c:axId val="21767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$ per bed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;\(&quot;$&quot;#,##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820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Mesclun — marginal cost vs price (standalone)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MC ($/bed)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'MC Schedules'!$A$57:$A$86</c:f>
              <c:numCache>
                <c:formatCode>0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'MC Schedules'!$I$57:$I$86</c:f>
              <c:numCache>
                <c:formatCode>"$"#,##0;\("$"#,##0\);\-</c:formatCode>
                <c:ptCount val="30"/>
                <c:pt idx="0">
                  <c:v>2462.03125</c:v>
                </c:pt>
                <c:pt idx="1">
                  <c:v>2501.58203125</c:v>
                </c:pt>
                <c:pt idx="2">
                  <c:v>2541.8743896484366</c:v>
                </c:pt>
                <c:pt idx="3">
                  <c:v>2582.920684814454</c:v>
                </c:pt>
                <c:pt idx="4">
                  <c:v>2624.7334694862348</c:v>
                </c:pt>
                <c:pt idx="5">
                  <c:v>2667.3254924178127</c:v>
                </c:pt>
                <c:pt idx="6">
                  <c:v>2710.7097013180683</c:v>
                </c:pt>
                <c:pt idx="7">
                  <c:v>2754.8992458326466</c:v>
                </c:pt>
                <c:pt idx="8">
                  <c:v>2799.9074805692508</c:v>
                </c:pt>
                <c:pt idx="9">
                  <c:v>2845.7479681671139</c:v>
                </c:pt>
                <c:pt idx="10">
                  <c:v>2892.4344824110776</c:v>
                </c:pt>
                <c:pt idx="11">
                  <c:v>2939.9810113911262</c:v>
                </c:pt>
                <c:pt idx="12">
                  <c:v>2988.4017607077876</c:v>
                </c:pt>
                <c:pt idx="13">
                  <c:v>2522.5810943551696</c:v>
                </c:pt>
                <c:pt idx="14">
                  <c:v>1983.9619249331008</c:v>
                </c:pt>
                <c:pt idx="15">
                  <c:v>2009.5273589841818</c:v>
                </c:pt>
                <c:pt idx="16">
                  <c:v>2035.5594348357699</c:v>
                </c:pt>
                <c:pt idx="17">
                  <c:v>2062.0658239338081</c:v>
                </c:pt>
                <c:pt idx="18">
                  <c:v>2089.0543165975978</c:v>
                </c:pt>
                <c:pt idx="19">
                  <c:v>2116.532823793008</c:v>
                </c:pt>
                <c:pt idx="20">
                  <c:v>2144.5093789313105</c:v>
                </c:pt>
                <c:pt idx="21">
                  <c:v>2172.9921396943828</c:v>
                </c:pt>
                <c:pt idx="22">
                  <c:v>2201.9893898860464</c:v>
                </c:pt>
                <c:pt idx="23">
                  <c:v>2231.5095413106901</c:v>
                </c:pt>
                <c:pt idx="24">
                  <c:v>2261.5611356787776</c:v>
                </c:pt>
                <c:pt idx="25">
                  <c:v>2292.1528465402444</c:v>
                </c:pt>
                <c:pt idx="26">
                  <c:v>2323.2934812457679</c:v>
                </c:pt>
                <c:pt idx="27">
                  <c:v>2354.9919829366991</c:v>
                </c:pt>
                <c:pt idx="28">
                  <c:v>2387.2574325634341</c:v>
                </c:pt>
                <c:pt idx="29">
                  <c:v>2420.0990509335097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64-A741-A846-D0043D36D146}"/>
            </c:ext>
          </c:extLst>
        </c:ser>
        <c:ser>
          <c:idx val="1"/>
          <c:order val="1"/>
          <c:tx>
            <c:v>Price ($/bed)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'MC Schedules'!$A$57:$A$86</c:f>
              <c:numCache>
                <c:formatCode>0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'MC Schedules'!$L$57:$L$86</c:f>
              <c:numCache>
                <c:formatCode>"$"#,##0;\("$"#,##0\);\-</c:formatCode>
                <c:ptCount val="30"/>
                <c:pt idx="0">
                  <c:v>2700</c:v>
                </c:pt>
                <c:pt idx="1">
                  <c:v>2700</c:v>
                </c:pt>
                <c:pt idx="2">
                  <c:v>2700</c:v>
                </c:pt>
                <c:pt idx="3">
                  <c:v>2700</c:v>
                </c:pt>
                <c:pt idx="4">
                  <c:v>2700</c:v>
                </c:pt>
                <c:pt idx="5">
                  <c:v>2700</c:v>
                </c:pt>
                <c:pt idx="6">
                  <c:v>2700</c:v>
                </c:pt>
                <c:pt idx="7">
                  <c:v>2700</c:v>
                </c:pt>
                <c:pt idx="8">
                  <c:v>2700</c:v>
                </c:pt>
                <c:pt idx="9">
                  <c:v>2700</c:v>
                </c:pt>
                <c:pt idx="10">
                  <c:v>2700</c:v>
                </c:pt>
                <c:pt idx="11">
                  <c:v>2700</c:v>
                </c:pt>
                <c:pt idx="12">
                  <c:v>2700</c:v>
                </c:pt>
                <c:pt idx="13">
                  <c:v>2700</c:v>
                </c:pt>
                <c:pt idx="14">
                  <c:v>2700</c:v>
                </c:pt>
                <c:pt idx="15">
                  <c:v>2700</c:v>
                </c:pt>
                <c:pt idx="16">
                  <c:v>2700</c:v>
                </c:pt>
                <c:pt idx="17">
                  <c:v>2700</c:v>
                </c:pt>
                <c:pt idx="18">
                  <c:v>2700</c:v>
                </c:pt>
                <c:pt idx="19">
                  <c:v>2700</c:v>
                </c:pt>
                <c:pt idx="20">
                  <c:v>2700</c:v>
                </c:pt>
                <c:pt idx="21">
                  <c:v>2700</c:v>
                </c:pt>
                <c:pt idx="22">
                  <c:v>2700</c:v>
                </c:pt>
                <c:pt idx="23">
                  <c:v>2700</c:v>
                </c:pt>
                <c:pt idx="24">
                  <c:v>2700</c:v>
                </c:pt>
                <c:pt idx="25">
                  <c:v>2700</c:v>
                </c:pt>
                <c:pt idx="26">
                  <c:v>2700</c:v>
                </c:pt>
                <c:pt idx="27">
                  <c:v>2700</c:v>
                </c:pt>
                <c:pt idx="28">
                  <c:v>2700</c:v>
                </c:pt>
                <c:pt idx="29">
                  <c:v>2700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64-A741-A846-D0043D36D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8187072"/>
        <c:axId val="218383680"/>
      </c:lineChart>
      <c:catAx>
        <c:axId val="2181870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 (beds)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8383680"/>
        <c:crosses val="autoZero"/>
        <c:auto val="1"/>
        <c:lblAlgn val="ctr"/>
        <c:lblOffset val="100"/>
        <c:noMultiLvlLbl val="0"/>
      </c:catAx>
      <c:valAx>
        <c:axId val="21838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$ per bed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;\(&quot;$&quot;#,##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8187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8</xdr:col>
      <xdr:colOff>508000</xdr:colOff>
      <xdr:row>19</xdr:row>
      <xdr:rowOff>177800</xdr:rowOff>
    </xdr:to>
    <xdr:graphicFrame macro="">
      <xdr:nvGraphicFramePr>
        <xdr:cNvPr id="2" name="mc_vs_price_tomato">
          <a:extLst>
            <a:ext uri="{FF2B5EF4-FFF2-40B4-BE49-F238E27FC236}">
              <a16:creationId xmlns:a16="http://schemas.microsoft.com/office/drawing/2014/main" id="{3DA19E49-6BCB-CD6D-1768-CE7040E098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8</xdr:col>
      <xdr:colOff>508000</xdr:colOff>
      <xdr:row>38</xdr:row>
      <xdr:rowOff>177800</xdr:rowOff>
    </xdr:to>
    <xdr:graphicFrame macro="">
      <xdr:nvGraphicFramePr>
        <xdr:cNvPr id="3" name="mc_vs_price_carrot">
          <a:extLst>
            <a:ext uri="{FF2B5EF4-FFF2-40B4-BE49-F238E27FC236}">
              <a16:creationId xmlns:a16="http://schemas.microsoft.com/office/drawing/2014/main" id="{F6FC516A-2E09-E185-7035-03FE526E19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41</xdr:row>
      <xdr:rowOff>0</xdr:rowOff>
    </xdr:from>
    <xdr:to>
      <xdr:col>8</xdr:col>
      <xdr:colOff>508000</xdr:colOff>
      <xdr:row>57</xdr:row>
      <xdr:rowOff>177800</xdr:rowOff>
    </xdr:to>
    <xdr:graphicFrame macro="">
      <xdr:nvGraphicFramePr>
        <xdr:cNvPr id="4" name="mc_vs_price_mesclun">
          <a:extLst>
            <a:ext uri="{FF2B5EF4-FFF2-40B4-BE49-F238E27FC236}">
              <a16:creationId xmlns:a16="http://schemas.microsoft.com/office/drawing/2014/main" id="{84403B3F-255F-10B4-A0CD-30BC8D2A69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BDBB981-AA28-7740-87A6-8AA0781B0B2F}" name="tomato_sched" displayName="tomato_sched" ref="A5:AC26" totalsRowShown="0">
  <autoFilter ref="A5:AC26" xr:uid="{3BDBB981-AA28-7740-87A6-8AA0781B0B2F}"/>
  <tableColumns count="29">
    <tableColumn id="1" xr3:uid="{41BC669A-CFC8-4943-AB2F-B5E3AF377D42}" name="q" dataDxfId="83"/>
    <tableColumn id="2" xr3:uid="{55847B44-5F9F-114B-B067-0F480822D978}" name="hrs" dataDxfId="82">
      <calculatedColumnFormula>tomato_sched[[#This Row],[q]]*tomato_crop_hrswk*season_weeks*(1+tomato_crop_dim)^tomato_sched[[#This Row],[q]]</calculatedColumnFormula>
    </tableColumn>
    <tableColumn id="3" xr3:uid="{1E217354-7A37-A54A-A891-6DBE2161E0F1}" name="perm_hrs" dataDxfId="81">
      <calculatedColumnFormula>MIN(tomato_sched[[#This Row],[hrs]],farmer_hrs_field)</calculatedColumnFormula>
    </tableColumn>
    <tableColumn id="4" xr3:uid="{7792B03A-59EC-E24E-BFF0-2F2C2DD72086}" name="temp_hrs" dataDxfId="80">
      <calculatedColumnFormula>tomato_sched[[#This Row],[hrs]]-tomato_sched[[#This Row],[perm_hrs]]</calculatedColumnFormula>
    </tableColumn>
    <tableColumn id="5" xr3:uid="{0394B1BF-D9AE-BE4C-9168-9A288AE5D4D1}" name="labor" dataDxfId="79">
      <calculatedColumnFormula>tomato_sched[[#This Row],[perm_hrs]]*farmer_wage+tomato_sched[[#This Row],[temp_hrs]]*temp_wage</calculatedColumnFormula>
    </tableColumn>
    <tableColumn id="6" xr3:uid="{B4A81CF0-4F07-134D-80AD-B66DF27B9B4D}" name="fert" dataDxfId="78">
      <calculatedColumnFormula>tomato_sched[[#This Row],[q]]*tomato_crop_fert</calculatedColumnFormula>
    </tableColumn>
    <tableColumn id="7" xr3:uid="{D13B21B7-A411-2243-AD03-28FB22B6B3D1}" name="vc" dataDxfId="77">
      <calculatedColumnFormula>tomato_sched[[#This Row],[labor]]+tomato_sched[[#This Row],[fert]]</calculatedColumnFormula>
    </tableColumn>
    <tableColumn id="8" xr3:uid="{2487722D-FDC0-A845-A86F-F1CBB3538805}" name="tc" dataDxfId="76">
      <calculatedColumnFormula>tomato_sched[[#This Row],[vc]]+fixed_costs</calculatedColumnFormula>
    </tableColumn>
    <tableColumn id="9" xr3:uid="{8030EA11-7B3E-664F-B46C-B6814C090886}" name="mc" dataDxfId="75">
      <calculatedColumnFormula>IF(tomato_sched[[#This Row],[q]]=0,"",tomato_sched[[#This Row],[vc]]-tomato_sched[[#This Row],[vc_1]])</calculatedColumnFormula>
    </tableColumn>
    <tableColumn id="10" xr3:uid="{94FA4B31-D2F0-784A-980A-0F290C54ADC2}" name="avc" dataDxfId="74">
      <calculatedColumnFormula>IF(tomato_sched[[#This Row],[q]]=0,"",tomato_sched[[#This Row],[vc]]/tomato_sched[[#This Row],[q]])</calculatedColumnFormula>
    </tableColumn>
    <tableColumn id="11" xr3:uid="{843CABDC-3E2D-CE49-B60E-3555CCF89F02}" name="atc" dataDxfId="73">
      <calculatedColumnFormula>IF(tomato_sched[[#This Row],[q]]=0,"",tomato_sched[[#This Row],[tc]]/tomato_sched[[#This Row],[q]])</calculatedColumnFormula>
    </tableColumn>
    <tableColumn id="12" xr3:uid="{A9402D92-E0A9-DD45-9E62-90943E10D9F6}" name="price" dataDxfId="72">
      <calculatedColumnFormula>tomato_crop_price</calculatedColumnFormula>
    </tableColumn>
    <tableColumn id="13" xr3:uid="{4669DFE5-11B2-0443-855A-CE2D10F62147}" name="pass" dataDxfId="71">
      <calculatedColumnFormula>IF(tomato_sched[[#This Row],[q]]=0,1,IF(tomato_sched[[#This Row],[mc]]&lt;=tomato_sched[[#This Row],[price]],1,0))</calculatedColumnFormula>
    </tableColumn>
    <tableColumn id="14" xr3:uid="{C119B95C-814B-9244-900A-86E563BB7A90}" name="fall" dataDxfId="70">
      <calculatedColumnFormula>IF(tomato_sched[[#This Row],[q]]&lt;=1,"",IF(tomato_sched[[#This Row],[mc]]&lt;tomato_sched[[#This Row],[mc_1]],1,0))</calculatedColumnFormula>
    </tableColumn>
    <tableColumn id="15" xr3:uid="{6C7AE67A-546B-7D4E-B541-EE77741C74A1}" name="q_1" dataDxfId="86">
      <calculatedColumnFormula>MAX(tomato_sched[[#This Row],[q]]-1,0)</calculatedColumnFormula>
    </tableColumn>
    <tableColumn id="16" xr3:uid="{8D1F028D-B79F-384E-B91B-E83CEBB60C24}" name="hrs_1" dataDxfId="69">
      <calculatedColumnFormula>tomato_sched[[#This Row],[q_1]]*tomato_crop_hrswk*season_weeks*(1+tomato_crop_dim)^tomato_sched[[#This Row],[q_1]]</calculatedColumnFormula>
    </tableColumn>
    <tableColumn id="17" xr3:uid="{C860AA6F-095A-304D-AF14-C4D9AE147923}" name="perm_hrs_1" dataDxfId="68">
      <calculatedColumnFormula>MIN(tomato_sched[[#This Row],[hrs_1]],farmer_hrs_field)</calculatedColumnFormula>
    </tableColumn>
    <tableColumn id="18" xr3:uid="{101F00DC-A1CC-1948-AA84-B263EA0CAFDC}" name="temp_hrs_1" dataDxfId="67">
      <calculatedColumnFormula>tomato_sched[[#This Row],[hrs_1]]-tomato_sched[[#This Row],[perm_hrs_1]]</calculatedColumnFormula>
    </tableColumn>
    <tableColumn id="19" xr3:uid="{272403D4-A05E-0142-A8C4-80A902C0CF07}" name="labor_1" dataDxfId="66">
      <calculatedColumnFormula>tomato_sched[[#This Row],[perm_hrs_1]]*farmer_wage+tomato_sched[[#This Row],[temp_hrs_1]]*temp_wage</calculatedColumnFormula>
    </tableColumn>
    <tableColumn id="20" xr3:uid="{CACB5E0C-0542-9842-8570-7A473F4873F3}" name="fert_1" dataDxfId="65">
      <calculatedColumnFormula>tomato_sched[[#This Row],[q_1]]*tomato_crop_fert</calculatedColumnFormula>
    </tableColumn>
    <tableColumn id="21" xr3:uid="{61F2116C-8639-B34B-86A1-11972529B008}" name="vc_1" dataDxfId="64">
      <calculatedColumnFormula>tomato_sched[[#This Row],[labor_1]]+tomato_sched[[#This Row],[fert_1]]</calculatedColumnFormula>
    </tableColumn>
    <tableColumn id="22" xr3:uid="{93F4F30F-969B-B84D-8B01-0D3F977CE532}" name="q_2" dataDxfId="63">
      <calculatedColumnFormula>MAX(tomato_sched[[#This Row],[q]]-2,0)</calculatedColumnFormula>
    </tableColumn>
    <tableColumn id="23" xr3:uid="{A8B09F05-4D28-EF46-A68C-AC3D7D4991EB}" name="hrs_2" dataDxfId="62">
      <calculatedColumnFormula>tomato_sched[[#This Row],[q_2]]*tomato_crop_hrswk*season_weeks*(1+tomato_crop_dim)^tomato_sched[[#This Row],[q_2]]</calculatedColumnFormula>
    </tableColumn>
    <tableColumn id="24" xr3:uid="{98733031-B194-B440-8D19-2933BA01AFAE}" name="perm_hrs_2" dataDxfId="61">
      <calculatedColumnFormula>MIN(tomato_sched[[#This Row],[hrs_2]],farmer_hrs_field)</calculatedColumnFormula>
    </tableColumn>
    <tableColumn id="25" xr3:uid="{508F345D-A047-C144-9FF4-07CD55661213}" name="temp_hrs_2" dataDxfId="60">
      <calculatedColumnFormula>tomato_sched[[#This Row],[hrs_2]]-tomato_sched[[#This Row],[perm_hrs_2]]</calculatedColumnFormula>
    </tableColumn>
    <tableColumn id="26" xr3:uid="{654CF3A6-63F2-1F47-B11A-B568B06E5358}" name="labor_2" dataDxfId="59">
      <calculatedColumnFormula>tomato_sched[[#This Row],[perm_hrs_2]]*farmer_wage+tomato_sched[[#This Row],[temp_hrs_2]]*temp_wage</calculatedColumnFormula>
    </tableColumn>
    <tableColumn id="27" xr3:uid="{0EC05D44-4EB4-C14F-A79F-38E8230278B2}" name="fert_2" dataDxfId="58">
      <calculatedColumnFormula>tomato_sched[[#This Row],[q_2]]*tomato_crop_fert</calculatedColumnFormula>
    </tableColumn>
    <tableColumn id="28" xr3:uid="{FE9E1C13-31B8-0E4F-9C21-81C15857705C}" name="vc_2" dataDxfId="57">
      <calculatedColumnFormula>tomato_sched[[#This Row],[labor_2]]+tomato_sched[[#This Row],[fert_2]]</calculatedColumnFormula>
    </tableColumn>
    <tableColumn id="29" xr3:uid="{E7BE974C-0C6D-934A-A983-8557A923851D}" name="mc_1" dataDxfId="56">
      <calculatedColumnFormula>IF(tomato_sched[[#This Row],[q]]&lt;=1,"",tomato_sched[[#This Row],[vc_1]]-tomato_sched[[#This Row],[vc_2]])</calculatedColumnFormula>
    </tableColumn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948DEA-068C-0645-B7FA-C092B78C8F6C}" name="carrot_sched" displayName="carrot_sched" ref="A30:AC51" totalsRowShown="0">
  <autoFilter ref="A30:AC51" xr:uid="{00948DEA-068C-0645-B7FA-C092B78C8F6C}"/>
  <tableColumns count="29">
    <tableColumn id="1" xr3:uid="{67C424DB-7E6F-A947-AE7C-D0290B2A67F0}" name="q" dataDxfId="55"/>
    <tableColumn id="2" xr3:uid="{F377DBB9-4309-0C4B-8CDE-96859B630F67}" name="hrs" dataDxfId="54">
      <calculatedColumnFormula>carrot_sched[[#This Row],[q]]*carrot_crop_hrswk*season_weeks*(1+carrot_crop_dim)^carrot_sched[[#This Row],[q]]</calculatedColumnFormula>
    </tableColumn>
    <tableColumn id="3" xr3:uid="{3224E6D7-27B8-8947-A9E0-BA0CC28D962A}" name="perm_hrs" dataDxfId="53">
      <calculatedColumnFormula>MIN(carrot_sched[[#This Row],[hrs]],farmer_hrs_field)</calculatedColumnFormula>
    </tableColumn>
    <tableColumn id="4" xr3:uid="{43D68094-CBFE-2749-90EC-A3AEF949A53D}" name="temp_hrs" dataDxfId="52">
      <calculatedColumnFormula>carrot_sched[[#This Row],[hrs]]-carrot_sched[[#This Row],[perm_hrs]]</calculatedColumnFormula>
    </tableColumn>
    <tableColumn id="5" xr3:uid="{BF497DD3-D4CE-1342-B93B-7D4027255331}" name="labor" dataDxfId="51">
      <calculatedColumnFormula>carrot_sched[[#This Row],[perm_hrs]]*farmer_wage+carrot_sched[[#This Row],[temp_hrs]]*temp_wage</calculatedColumnFormula>
    </tableColumn>
    <tableColumn id="6" xr3:uid="{13983A27-045B-8844-8493-0EF1C97EFA42}" name="fert" dataDxfId="50">
      <calculatedColumnFormula>carrot_sched[[#This Row],[q]]*carrot_crop_fert</calculatedColumnFormula>
    </tableColumn>
    <tableColumn id="7" xr3:uid="{9FCC4D4D-5997-BF44-B21A-B2DF4C2376A0}" name="vc" dataDxfId="49">
      <calculatedColumnFormula>carrot_sched[[#This Row],[labor]]+carrot_sched[[#This Row],[fert]]</calculatedColumnFormula>
    </tableColumn>
    <tableColumn id="8" xr3:uid="{B2CE9F9A-B8E7-CE44-9E69-D84920B95431}" name="tc" dataDxfId="48">
      <calculatedColumnFormula>carrot_sched[[#This Row],[vc]]+fixed_costs</calculatedColumnFormula>
    </tableColumn>
    <tableColumn id="9" xr3:uid="{88DF33DA-5AA7-5545-A410-62CC1CE86138}" name="mc" dataDxfId="47">
      <calculatedColumnFormula>IF(carrot_sched[[#This Row],[q]]=0,"",carrot_sched[[#This Row],[vc]]-carrot_sched[[#This Row],[vc_1]])</calculatedColumnFormula>
    </tableColumn>
    <tableColumn id="10" xr3:uid="{494C9BC6-861C-7F49-8FE4-8D6D22ECECF4}" name="avc" dataDxfId="46">
      <calculatedColumnFormula>IF(carrot_sched[[#This Row],[q]]=0,"",carrot_sched[[#This Row],[vc]]/carrot_sched[[#This Row],[q]])</calculatedColumnFormula>
    </tableColumn>
    <tableColumn id="11" xr3:uid="{85E346ED-4049-4042-9443-961F003A716F}" name="atc" dataDxfId="45">
      <calculatedColumnFormula>IF(carrot_sched[[#This Row],[q]]=0,"",carrot_sched[[#This Row],[tc]]/carrot_sched[[#This Row],[q]])</calculatedColumnFormula>
    </tableColumn>
    <tableColumn id="12" xr3:uid="{2C6CB0F7-E97D-DC43-89C2-F8F2DE465D10}" name="price" dataDxfId="44">
      <calculatedColumnFormula>carrot_crop_price</calculatedColumnFormula>
    </tableColumn>
    <tableColumn id="13" xr3:uid="{A9FCFFFC-ADFC-D940-BF48-BFBFE2375715}" name="pass" dataDxfId="43">
      <calculatedColumnFormula>IF(carrot_sched[[#This Row],[q]]=0,1,IF(carrot_sched[[#This Row],[mc]]&lt;=carrot_sched[[#This Row],[price]],1,0))</calculatedColumnFormula>
    </tableColumn>
    <tableColumn id="14" xr3:uid="{056B3B4B-F158-1B47-AFB0-C5F9C2C64640}" name="fall" dataDxfId="42">
      <calculatedColumnFormula>IF(carrot_sched[[#This Row],[q]]&lt;=1,"",IF(carrot_sched[[#This Row],[mc]]&lt;carrot_sched[[#This Row],[mc_1]],1,0))</calculatedColumnFormula>
    </tableColumn>
    <tableColumn id="15" xr3:uid="{09CCDF06-6B0E-EF4D-918E-F442682A4AA5}" name="q_1" dataDxfId="85">
      <calculatedColumnFormula>MAX(carrot_sched[[#This Row],[q]]-1,0)</calculatedColumnFormula>
    </tableColumn>
    <tableColumn id="16" xr3:uid="{C8DE1DCC-93EB-264A-B161-0604937331D2}" name="hrs_1" dataDxfId="41">
      <calculatedColumnFormula>carrot_sched[[#This Row],[q_1]]*carrot_crop_hrswk*season_weeks*(1+carrot_crop_dim)^carrot_sched[[#This Row],[q_1]]</calculatedColumnFormula>
    </tableColumn>
    <tableColumn id="17" xr3:uid="{5103DE1F-246F-844C-AEA3-B3BCA606678F}" name="perm_hrs_1" dataDxfId="40">
      <calculatedColumnFormula>MIN(carrot_sched[[#This Row],[hrs_1]],farmer_hrs_field)</calculatedColumnFormula>
    </tableColumn>
    <tableColumn id="18" xr3:uid="{D9901411-0B4F-C34D-B2BB-2F43FF206CEB}" name="temp_hrs_1" dataDxfId="39">
      <calculatedColumnFormula>carrot_sched[[#This Row],[hrs_1]]-carrot_sched[[#This Row],[perm_hrs_1]]</calculatedColumnFormula>
    </tableColumn>
    <tableColumn id="19" xr3:uid="{92E366BD-5612-C247-90E0-0513AC294D7F}" name="labor_1" dataDxfId="38">
      <calculatedColumnFormula>carrot_sched[[#This Row],[perm_hrs_1]]*farmer_wage+carrot_sched[[#This Row],[temp_hrs_1]]*temp_wage</calculatedColumnFormula>
    </tableColumn>
    <tableColumn id="20" xr3:uid="{3BF512E3-82F0-2746-9A5B-CA73B2A9A2CF}" name="fert_1" dataDxfId="37">
      <calculatedColumnFormula>carrot_sched[[#This Row],[q_1]]*carrot_crop_fert</calculatedColumnFormula>
    </tableColumn>
    <tableColumn id="21" xr3:uid="{3C76E41B-78A0-1E47-B8AC-8ECE2E740F23}" name="vc_1" dataDxfId="36">
      <calculatedColumnFormula>carrot_sched[[#This Row],[labor_1]]+carrot_sched[[#This Row],[fert_1]]</calculatedColumnFormula>
    </tableColumn>
    <tableColumn id="22" xr3:uid="{F8C8ADBD-FAEC-0241-B60A-37EB5AA3459B}" name="q_2" dataDxfId="35">
      <calculatedColumnFormula>MAX(carrot_sched[[#This Row],[q]]-2,0)</calculatedColumnFormula>
    </tableColumn>
    <tableColumn id="23" xr3:uid="{81F17C8D-0FCF-5846-9FEE-234F0F4BCC2E}" name="hrs_2" dataDxfId="34">
      <calculatedColumnFormula>carrot_sched[[#This Row],[q_2]]*carrot_crop_hrswk*season_weeks*(1+carrot_crop_dim)^carrot_sched[[#This Row],[q_2]]</calculatedColumnFormula>
    </tableColumn>
    <tableColumn id="24" xr3:uid="{C80F2608-E474-5841-93E8-6CF215AFEEF1}" name="perm_hrs_2" dataDxfId="33">
      <calculatedColumnFormula>MIN(carrot_sched[[#This Row],[hrs_2]],farmer_hrs_field)</calculatedColumnFormula>
    </tableColumn>
    <tableColumn id="25" xr3:uid="{D5440ACF-9EE0-B945-BC0B-30160D9D3EA3}" name="temp_hrs_2" dataDxfId="32">
      <calculatedColumnFormula>carrot_sched[[#This Row],[hrs_2]]-carrot_sched[[#This Row],[perm_hrs_2]]</calculatedColumnFormula>
    </tableColumn>
    <tableColumn id="26" xr3:uid="{63C7C84E-BC26-EF48-84C0-34E0B776DF30}" name="labor_2" dataDxfId="31">
      <calculatedColumnFormula>carrot_sched[[#This Row],[perm_hrs_2]]*farmer_wage+carrot_sched[[#This Row],[temp_hrs_2]]*temp_wage</calculatedColumnFormula>
    </tableColumn>
    <tableColumn id="27" xr3:uid="{4195C8C2-C0C0-0B4D-85D0-19D465D9A510}" name="fert_2" dataDxfId="30">
      <calculatedColumnFormula>carrot_sched[[#This Row],[q_2]]*carrot_crop_fert</calculatedColumnFormula>
    </tableColumn>
    <tableColumn id="28" xr3:uid="{D662CBD4-979A-E84A-993A-59EDBD09FA0F}" name="vc_2" dataDxfId="29">
      <calculatedColumnFormula>carrot_sched[[#This Row],[labor_2]]+carrot_sched[[#This Row],[fert_2]]</calculatedColumnFormula>
    </tableColumn>
    <tableColumn id="29" xr3:uid="{E3B5EB30-61FB-3E43-A0AB-72814FCF3014}" name="mc_1" dataDxfId="28">
      <calculatedColumnFormula>IF(carrot_sched[[#This Row],[q]]&lt;=1,"",carrot_sched[[#This Row],[vc_1]]-carrot_sched[[#This Row],[vc_2]])</calculatedColumnFormula>
    </tableColumn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689D908-48DB-F042-85D6-549FA45F5DBA}" name="mesclun_sched" displayName="mesclun_sched" ref="A55:AC86" totalsRowShown="0">
  <autoFilter ref="A55:AC86" xr:uid="{7689D908-48DB-F042-85D6-549FA45F5DBA}"/>
  <tableColumns count="29">
    <tableColumn id="1" xr3:uid="{DE08B776-9802-4045-B86A-157630ED61CE}" name="q" dataDxfId="27"/>
    <tableColumn id="2" xr3:uid="{469BC26B-D1FC-884A-9E93-DD0709CF49FC}" name="hrs" dataDxfId="26">
      <calculatedColumnFormula>mesclun_sched[[#This Row],[q]]*mesclun_crop_hrswk*season_weeks*(1+mesclun_crop_dim)^mesclun_sched[[#This Row],[q]]</calculatedColumnFormula>
    </tableColumn>
    <tableColumn id="3" xr3:uid="{E13695BE-C18B-8845-AB69-5D6F3DF86CDA}" name="perm_hrs" dataDxfId="25">
      <calculatedColumnFormula>MIN(mesclun_sched[[#This Row],[hrs]],farmer_hrs_field)</calculatedColumnFormula>
    </tableColumn>
    <tableColumn id="4" xr3:uid="{0469A616-DD0D-7B4C-98A9-75526346905F}" name="temp_hrs" dataDxfId="24">
      <calculatedColumnFormula>mesclun_sched[[#This Row],[hrs]]-mesclun_sched[[#This Row],[perm_hrs]]</calculatedColumnFormula>
    </tableColumn>
    <tableColumn id="5" xr3:uid="{A3152555-51DE-4548-ACED-E66D500340E7}" name="labor" dataDxfId="23">
      <calculatedColumnFormula>mesclun_sched[[#This Row],[perm_hrs]]*farmer_wage+mesclun_sched[[#This Row],[temp_hrs]]*temp_wage</calculatedColumnFormula>
    </tableColumn>
    <tableColumn id="6" xr3:uid="{85DACA7D-F427-0944-96D3-652A14F3A744}" name="fert" dataDxfId="22">
      <calculatedColumnFormula>mesclun_sched[[#This Row],[q]]*mesclun_crop_fert</calculatedColumnFormula>
    </tableColumn>
    <tableColumn id="7" xr3:uid="{A4772854-DDDD-B548-B892-4697CFC97C74}" name="vc" dataDxfId="21">
      <calculatedColumnFormula>mesclun_sched[[#This Row],[labor]]+mesclun_sched[[#This Row],[fert]]</calculatedColumnFormula>
    </tableColumn>
    <tableColumn id="8" xr3:uid="{1BC46FCA-6C62-0E48-A95C-3BE38F1A873C}" name="tc" dataDxfId="20">
      <calculatedColumnFormula>mesclun_sched[[#This Row],[vc]]+fixed_costs</calculatedColumnFormula>
    </tableColumn>
    <tableColumn id="9" xr3:uid="{B21CC512-6DDF-E444-838D-F9F0247FA1B7}" name="mc" dataDxfId="19">
      <calculatedColumnFormula>IF(mesclun_sched[[#This Row],[q]]=0,"",mesclun_sched[[#This Row],[vc]]-mesclun_sched[[#This Row],[vc_1]])</calculatedColumnFormula>
    </tableColumn>
    <tableColumn id="10" xr3:uid="{D9D9A14D-3C66-C742-83CE-F2FE24342266}" name="avc" dataDxfId="18">
      <calculatedColumnFormula>IF(mesclun_sched[[#This Row],[q]]=0,"",mesclun_sched[[#This Row],[vc]]/mesclun_sched[[#This Row],[q]])</calculatedColumnFormula>
    </tableColumn>
    <tableColumn id="11" xr3:uid="{9C06FA9A-5BF9-4E4F-AE93-E9B852950AF8}" name="atc" dataDxfId="17">
      <calculatedColumnFormula>IF(mesclun_sched[[#This Row],[q]]=0,"",mesclun_sched[[#This Row],[tc]]/mesclun_sched[[#This Row],[q]])</calculatedColumnFormula>
    </tableColumn>
    <tableColumn id="12" xr3:uid="{DA33E79A-1C71-AF43-93E3-B27628A225F6}" name="price" dataDxfId="16">
      <calculatedColumnFormula>mesclun_crop_price</calculatedColumnFormula>
    </tableColumn>
    <tableColumn id="13" xr3:uid="{AE7BB041-4991-0F42-81DC-C08EBE567838}" name="pass" dataDxfId="15">
      <calculatedColumnFormula>IF(mesclun_sched[[#This Row],[q]]=0,1,IF(mesclun_sched[[#This Row],[mc]]&lt;=mesclun_sched[[#This Row],[price]],1,0))</calculatedColumnFormula>
    </tableColumn>
    <tableColumn id="14" xr3:uid="{B6DE5AC6-B9F0-8E47-BBE6-F311991F8BB8}" name="fall" dataDxfId="14">
      <calculatedColumnFormula>IF(mesclun_sched[[#This Row],[q]]&lt;=1,"",IF(mesclun_sched[[#This Row],[mc]]&lt;mesclun_sched[[#This Row],[mc_1]],1,0))</calculatedColumnFormula>
    </tableColumn>
    <tableColumn id="15" xr3:uid="{F78AEFCF-C4C3-1D49-ACF9-62172AD72300}" name="q_1" dataDxfId="84">
      <calculatedColumnFormula>MAX(mesclun_sched[[#This Row],[q]]-1,0)</calculatedColumnFormula>
    </tableColumn>
    <tableColumn id="16" xr3:uid="{FFD22B20-1B46-B24A-86BF-BC2E3C73C04D}" name="hrs_1" dataDxfId="13">
      <calculatedColumnFormula>mesclun_sched[[#This Row],[q_1]]*mesclun_crop_hrswk*season_weeks*(1+mesclun_crop_dim)^mesclun_sched[[#This Row],[q_1]]</calculatedColumnFormula>
    </tableColumn>
    <tableColumn id="17" xr3:uid="{7D08A79B-CBAC-9042-91C3-8C7CF28E95E8}" name="perm_hrs_1" dataDxfId="12">
      <calculatedColumnFormula>MIN(mesclun_sched[[#This Row],[hrs_1]],farmer_hrs_field)</calculatedColumnFormula>
    </tableColumn>
    <tableColumn id="18" xr3:uid="{1C846963-D217-1147-86A5-6132E48814B9}" name="temp_hrs_1" dataDxfId="11">
      <calculatedColumnFormula>mesclun_sched[[#This Row],[hrs_1]]-mesclun_sched[[#This Row],[perm_hrs_1]]</calculatedColumnFormula>
    </tableColumn>
    <tableColumn id="19" xr3:uid="{8E0EBE22-3946-DF42-A15F-92EE458E00FF}" name="labor_1" dataDxfId="10">
      <calculatedColumnFormula>mesclun_sched[[#This Row],[perm_hrs_1]]*farmer_wage+mesclun_sched[[#This Row],[temp_hrs_1]]*temp_wage</calculatedColumnFormula>
    </tableColumn>
    <tableColumn id="20" xr3:uid="{D1399A00-6E5B-1945-8449-15792638247E}" name="fert_1" dataDxfId="9">
      <calculatedColumnFormula>mesclun_sched[[#This Row],[q_1]]*mesclun_crop_fert</calculatedColumnFormula>
    </tableColumn>
    <tableColumn id="21" xr3:uid="{91F53D3B-FF63-0E4D-A87D-ABA87C272046}" name="vc_1" dataDxfId="8">
      <calculatedColumnFormula>mesclun_sched[[#This Row],[labor_1]]+mesclun_sched[[#This Row],[fert_1]]</calculatedColumnFormula>
    </tableColumn>
    <tableColumn id="22" xr3:uid="{8FDFE1DA-6AB9-9240-8853-70B5201E4A13}" name="q_2" dataDxfId="7">
      <calculatedColumnFormula>MAX(mesclun_sched[[#This Row],[q]]-2,0)</calculatedColumnFormula>
    </tableColumn>
    <tableColumn id="23" xr3:uid="{87C7217D-6E90-7044-9511-0991C7D72CF2}" name="hrs_2" dataDxfId="6">
      <calculatedColumnFormula>mesclun_sched[[#This Row],[q_2]]*mesclun_crop_hrswk*season_weeks*(1+mesclun_crop_dim)^mesclun_sched[[#This Row],[q_2]]</calculatedColumnFormula>
    </tableColumn>
    <tableColumn id="24" xr3:uid="{37C212A1-BD9B-6C48-A90B-36C1FA80020D}" name="perm_hrs_2" dataDxfId="5">
      <calculatedColumnFormula>MIN(mesclun_sched[[#This Row],[hrs_2]],farmer_hrs_field)</calculatedColumnFormula>
    </tableColumn>
    <tableColumn id="25" xr3:uid="{D6AC86A9-A1C9-4646-9FAC-19C8E3C7A9E8}" name="temp_hrs_2" dataDxfId="4">
      <calculatedColumnFormula>mesclun_sched[[#This Row],[hrs_2]]-mesclun_sched[[#This Row],[perm_hrs_2]]</calculatedColumnFormula>
    </tableColumn>
    <tableColumn id="26" xr3:uid="{7A21D579-8570-AA42-9CC9-693D2D3E3C83}" name="labor_2" dataDxfId="3">
      <calculatedColumnFormula>mesclun_sched[[#This Row],[perm_hrs_2]]*farmer_wage+mesclun_sched[[#This Row],[temp_hrs_2]]*temp_wage</calculatedColumnFormula>
    </tableColumn>
    <tableColumn id="27" xr3:uid="{468A10F8-26B9-D74A-A176-DB5F96440A0E}" name="fert_2" dataDxfId="2">
      <calculatedColumnFormula>mesclun_sched[[#This Row],[q_2]]*mesclun_crop_fert</calculatedColumnFormula>
    </tableColumn>
    <tableColumn id="28" xr3:uid="{CA19AD04-B245-E844-B584-E07AABFB8866}" name="vc_2" dataDxfId="1">
      <calculatedColumnFormula>mesclun_sched[[#This Row],[labor_2]]+mesclun_sched[[#This Row],[fert_2]]</calculatedColumnFormula>
    </tableColumn>
    <tableColumn id="29" xr3:uid="{686D0BC4-E14C-8F44-9246-E0EAE4DA5178}" name="mc_1" dataDxfId="0">
      <calculatedColumnFormula>IF(mesclun_sched[[#This Row],[q]]&lt;=1,"",mesclun_sched[[#This Row],[vc_1]]-mesclun_sched[[#This Row],[vc_2]])</calculatedColumnFormula>
    </tableColumn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75DFCDF-4CDB-0F44-A2B2-E805C7603548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d7bdb020-b6e2-473c-a5b0-79b057958f72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2A9FF-DB76-DE44-AF45-F9E16EC21D96}">
  <dimension ref="A1:D39"/>
  <sheetViews>
    <sheetView workbookViewId="0"/>
  </sheetViews>
  <sheetFormatPr baseColWidth="10" defaultRowHeight="16" x14ac:dyDescent="0.2"/>
  <cols>
    <col min="1" max="1" width="41.6640625" customWidth="1"/>
    <col min="2" max="2" width="86.6640625" customWidth="1"/>
    <col min="3" max="4" width="15" customWidth="1"/>
  </cols>
  <sheetData>
    <row r="1" spans="1:2" ht="22" x14ac:dyDescent="0.3">
      <c r="A1" s="36" t="s">
        <v>172</v>
      </c>
    </row>
    <row r="2" spans="1:2" x14ac:dyDescent="0.2">
      <c r="A2" s="2" t="s">
        <v>173</v>
      </c>
    </row>
    <row r="4" spans="1:2" x14ac:dyDescent="0.2">
      <c r="A4" s="4" t="s">
        <v>174</v>
      </c>
      <c r="B4" s="5"/>
    </row>
    <row r="5" spans="1:2" x14ac:dyDescent="0.2">
      <c r="A5" t="s">
        <v>175</v>
      </c>
    </row>
    <row r="6" spans="1:2" x14ac:dyDescent="0.2">
      <c r="A6" t="s">
        <v>176</v>
      </c>
    </row>
    <row r="7" spans="1:2" x14ac:dyDescent="0.2">
      <c r="A7" t="s">
        <v>177</v>
      </c>
    </row>
    <row r="8" spans="1:2" x14ac:dyDescent="0.2">
      <c r="A8" t="s">
        <v>178</v>
      </c>
    </row>
    <row r="9" spans="1:2" x14ac:dyDescent="0.2">
      <c r="A9" t="s">
        <v>179</v>
      </c>
    </row>
    <row r="11" spans="1:2" x14ac:dyDescent="0.2">
      <c r="A11" s="4" t="s">
        <v>180</v>
      </c>
      <c r="B11" s="5"/>
    </row>
    <row r="12" spans="1:2" x14ac:dyDescent="0.2">
      <c r="A12" s="37" t="s">
        <v>181</v>
      </c>
      <c r="B12" t="s">
        <v>182</v>
      </c>
    </row>
    <row r="13" spans="1:2" x14ac:dyDescent="0.2">
      <c r="A13" s="38" t="s">
        <v>183</v>
      </c>
      <c r="B13" t="s">
        <v>184</v>
      </c>
    </row>
    <row r="14" spans="1:2" x14ac:dyDescent="0.2">
      <c r="A14" s="39" t="s">
        <v>185</v>
      </c>
      <c r="B14" t="s">
        <v>186</v>
      </c>
    </row>
    <row r="16" spans="1:2" x14ac:dyDescent="0.2">
      <c r="A16" s="4" t="s">
        <v>187</v>
      </c>
      <c r="B16" s="5"/>
    </row>
    <row r="17" spans="1:4" x14ac:dyDescent="0.2">
      <c r="A17" t="s">
        <v>188</v>
      </c>
      <c r="B17" t="s">
        <v>189</v>
      </c>
    </row>
    <row r="18" spans="1:4" x14ac:dyDescent="0.2">
      <c r="A18" t="s">
        <v>190</v>
      </c>
      <c r="B18" t="s">
        <v>191</v>
      </c>
    </row>
    <row r="19" spans="1:4" x14ac:dyDescent="0.2">
      <c r="A19" t="s">
        <v>192</v>
      </c>
      <c r="B19" t="s">
        <v>193</v>
      </c>
    </row>
    <row r="20" spans="1:4" x14ac:dyDescent="0.2">
      <c r="A20" t="s">
        <v>194</v>
      </c>
      <c r="B20" t="s">
        <v>195</v>
      </c>
    </row>
    <row r="21" spans="1:4" x14ac:dyDescent="0.2">
      <c r="A21" t="s">
        <v>196</v>
      </c>
      <c r="B21" t="s">
        <v>197</v>
      </c>
    </row>
    <row r="22" spans="1:4" x14ac:dyDescent="0.2">
      <c r="A22" t="s">
        <v>198</v>
      </c>
      <c r="B22" t="s">
        <v>199</v>
      </c>
    </row>
    <row r="23" spans="1:4" x14ac:dyDescent="0.2">
      <c r="A23" t="s">
        <v>200</v>
      </c>
      <c r="B23" t="s">
        <v>201</v>
      </c>
    </row>
    <row r="24" spans="1:4" x14ac:dyDescent="0.2">
      <c r="A24" t="s">
        <v>202</v>
      </c>
      <c r="B24" t="s">
        <v>203</v>
      </c>
    </row>
    <row r="25" spans="1:4" x14ac:dyDescent="0.2">
      <c r="A25" t="s">
        <v>204</v>
      </c>
      <c r="B25" t="s">
        <v>205</v>
      </c>
    </row>
    <row r="27" spans="1:4" x14ac:dyDescent="0.2">
      <c r="A27" s="4" t="s">
        <v>206</v>
      </c>
      <c r="B27" s="5"/>
      <c r="C27" s="5"/>
      <c r="D27" s="5"/>
    </row>
    <row r="28" spans="1:4" x14ac:dyDescent="0.2">
      <c r="A28" s="3" t="s">
        <v>57</v>
      </c>
      <c r="B28" s="6" t="s">
        <v>58</v>
      </c>
      <c r="C28" s="6" t="s">
        <v>59</v>
      </c>
      <c r="D28" s="3" t="s">
        <v>60</v>
      </c>
    </row>
    <row r="29" spans="1:4" x14ac:dyDescent="0.2">
      <c r="A29" t="s">
        <v>207</v>
      </c>
      <c r="B29" s="18">
        <f>anchor_tomato_q1</f>
        <v>99.000000000000014</v>
      </c>
      <c r="C29" s="18">
        <f>anchor_tomato_q1_req</f>
        <v>99</v>
      </c>
      <c r="D29" t="str">
        <f>IF(ABS(anchor_tomato_q1-anchor_tomato_q1_req)&lt;0.05,"PASS","FAIL")</f>
        <v>PASS</v>
      </c>
    </row>
    <row r="30" spans="1:4" x14ac:dyDescent="0.2">
      <c r="A30" t="s">
        <v>208</v>
      </c>
      <c r="B30" s="18">
        <f>anchor_tomato_q10</f>
        <v>2334.3682140900019</v>
      </c>
      <c r="C30" s="18">
        <f>anchor_tomato_q10_req</f>
        <v>2334.4</v>
      </c>
      <c r="D30" t="str">
        <f>IF(ABS(anchor_tomato_q10-anchor_tomato_q10_req)&lt;0.05,"PASS","FAIL")</f>
        <v>PASS</v>
      </c>
    </row>
    <row r="31" spans="1:4" x14ac:dyDescent="0.2">
      <c r="A31" t="s">
        <v>209</v>
      </c>
      <c r="B31" s="20">
        <f>check_wage_dollars</f>
        <v>25000</v>
      </c>
      <c r="C31" s="20">
        <f>check_wage_dollars_req</f>
        <v>25000</v>
      </c>
      <c r="D31" t="str">
        <f>IF(ABS(check_wage_dollars-check_wage_dollars_req)&lt;0.01,"PASS","FAIL")</f>
        <v>PASS</v>
      </c>
    </row>
    <row r="32" spans="1:4" x14ac:dyDescent="0.2">
      <c r="A32" t="s">
        <v>210</v>
      </c>
      <c r="B32" s="33">
        <f>crossing_tomato</f>
        <v>10</v>
      </c>
      <c r="C32" s="7">
        <v>10</v>
      </c>
      <c r="D32" t="str" cm="1">
        <f t="array" ref="D32">IF(ABS(crossing_tomato-crossing_req_tomato)&lt;=1,"PASS","FAIL")</f>
        <v>PASS</v>
      </c>
    </row>
    <row r="33" spans="1:4" x14ac:dyDescent="0.2">
      <c r="A33" t="s">
        <v>211</v>
      </c>
      <c r="B33" s="33">
        <f>crossing_carrot</f>
        <v>10</v>
      </c>
      <c r="C33" s="7">
        <v>10</v>
      </c>
      <c r="D33" t="str" cm="1">
        <f t="array" ref="D33">IF(ABS(crossing_carrot-crossing_req_carrot)&lt;=1,"PASS","FAIL")</f>
        <v>PASS</v>
      </c>
    </row>
    <row r="34" spans="1:4" x14ac:dyDescent="0.2">
      <c r="A34" t="s">
        <v>212</v>
      </c>
      <c r="B34" s="33">
        <f>crossing_mesclun</f>
        <v>6</v>
      </c>
      <c r="C34" s="7">
        <v>6</v>
      </c>
      <c r="D34" t="str" cm="1">
        <f t="array" ref="D34">IF(ABS(crossing_mesclun-crossing_req_mesclun)&lt;=1,"PASS","FAIL")</f>
        <v>PASS</v>
      </c>
    </row>
    <row r="35" spans="1:4" x14ac:dyDescent="0.2">
      <c r="A35" t="s">
        <v>213</v>
      </c>
      <c r="B35" s="20">
        <f>check_labor_sum</f>
        <v>0</v>
      </c>
      <c r="C35" s="20">
        <f>labor_cost_total</f>
        <v>0</v>
      </c>
      <c r="D35" t="str">
        <f>IF(ABS(check_labor_sum-labor_cost_total)&lt;0.01,"PASS","FAIL")</f>
        <v>PASS</v>
      </c>
    </row>
    <row r="36" spans="1:4" x14ac:dyDescent="0.2">
      <c r="A36" t="s">
        <v>214</v>
      </c>
      <c r="B36" s="33" cm="1">
        <f t="array" ref="B36">SUMPRODUCT(--ISERROR(tomato_sched[]))+SUMPRODUCT(--ISERROR(carrot_sched[]))+SUMPRODUCT(--ISERROR(mesclun_sched[]))</f>
        <v>0</v>
      </c>
      <c r="C36" s="7">
        <v>0</v>
      </c>
      <c r="D36" t="str" cm="1">
        <f t="array" ref="D36">IF(check_errors_sched=check_errors_req,"PASS","FAIL")</f>
        <v>PASS</v>
      </c>
    </row>
    <row r="38" spans="1:4" x14ac:dyDescent="0.2">
      <c r="A38" s="2" t="s">
        <v>215</v>
      </c>
    </row>
    <row r="39" spans="1:4" x14ac:dyDescent="0.2">
      <c r="A39" s="2" t="s">
        <v>216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28609-E157-9349-9682-FB07D01B7CDE}">
  <dimension ref="A1:F36"/>
  <sheetViews>
    <sheetView workbookViewId="0"/>
  </sheetViews>
  <sheetFormatPr baseColWidth="10" defaultRowHeight="16" x14ac:dyDescent="0.2"/>
  <cols>
    <col min="1" max="1" width="28.33203125" customWidth="1"/>
    <col min="2" max="4" width="15.83203125" customWidth="1"/>
    <col min="5" max="5" width="41.6640625" customWidth="1"/>
    <col min="6" max="6" width="33.33203125" customWidth="1"/>
  </cols>
  <sheetData>
    <row r="1" spans="1:5" ht="19" x14ac:dyDescent="0.25">
      <c r="A1" s="1" t="s">
        <v>0</v>
      </c>
    </row>
    <row r="2" spans="1:5" x14ac:dyDescent="0.2">
      <c r="A2" s="2" t="s">
        <v>1</v>
      </c>
    </row>
    <row r="4" spans="1:5" x14ac:dyDescent="0.2">
      <c r="A4" s="4" t="s">
        <v>2</v>
      </c>
      <c r="B4" s="5"/>
      <c r="C4" s="5"/>
      <c r="D4" s="5"/>
      <c r="E4" s="5"/>
    </row>
    <row r="5" spans="1:5" x14ac:dyDescent="0.2">
      <c r="A5" s="3" t="s">
        <v>3</v>
      </c>
      <c r="B5" s="6" t="s">
        <v>4</v>
      </c>
      <c r="C5" s="3" t="s">
        <v>5</v>
      </c>
      <c r="D5" s="3" t="s">
        <v>6</v>
      </c>
      <c r="E5" s="3" t="s">
        <v>7</v>
      </c>
    </row>
    <row r="6" spans="1:5" x14ac:dyDescent="0.2">
      <c r="A6" t="s">
        <v>8</v>
      </c>
      <c r="B6" s="7">
        <v>36</v>
      </c>
      <c r="C6" t="s">
        <v>9</v>
      </c>
      <c r="D6" t="s">
        <v>10</v>
      </c>
      <c r="E6" t="s">
        <v>11</v>
      </c>
    </row>
    <row r="7" spans="1:5" x14ac:dyDescent="0.2">
      <c r="A7" t="s">
        <v>12</v>
      </c>
      <c r="B7" s="7">
        <v>64</v>
      </c>
      <c r="C7" t="s">
        <v>13</v>
      </c>
      <c r="D7" t="s">
        <v>10</v>
      </c>
      <c r="E7" t="s">
        <v>11</v>
      </c>
    </row>
    <row r="8" spans="1:5" x14ac:dyDescent="0.2">
      <c r="A8" t="s">
        <v>14</v>
      </c>
      <c r="B8" s="8">
        <v>20000</v>
      </c>
      <c r="C8" t="s">
        <v>15</v>
      </c>
      <c r="D8" t="s">
        <v>10</v>
      </c>
      <c r="E8" t="s">
        <v>11</v>
      </c>
    </row>
    <row r="10" spans="1:5" x14ac:dyDescent="0.2">
      <c r="A10" s="4" t="s">
        <v>16</v>
      </c>
      <c r="B10" s="5"/>
      <c r="C10" s="5"/>
      <c r="D10" s="5"/>
      <c r="E10" s="5"/>
    </row>
    <row r="11" spans="1:5" x14ac:dyDescent="0.2">
      <c r="A11" s="3" t="s">
        <v>3</v>
      </c>
      <c r="B11" s="6" t="s">
        <v>4</v>
      </c>
      <c r="C11" s="3" t="s">
        <v>5</v>
      </c>
      <c r="D11" s="3" t="s">
        <v>6</v>
      </c>
      <c r="E11" s="3" t="s">
        <v>7</v>
      </c>
    </row>
    <row r="12" spans="1:5" x14ac:dyDescent="0.2">
      <c r="A12" t="s">
        <v>17</v>
      </c>
      <c r="B12" s="8">
        <v>50000</v>
      </c>
      <c r="C12" t="s">
        <v>15</v>
      </c>
      <c r="D12" t="s">
        <v>10</v>
      </c>
      <c r="E12" t="s">
        <v>11</v>
      </c>
    </row>
    <row r="13" spans="1:5" x14ac:dyDescent="0.2">
      <c r="A13" t="s">
        <v>18</v>
      </c>
      <c r="B13" s="7">
        <v>40</v>
      </c>
      <c r="C13" t="s">
        <v>19</v>
      </c>
      <c r="D13" t="s">
        <v>10</v>
      </c>
      <c r="E13" t="s">
        <v>11</v>
      </c>
    </row>
    <row r="14" spans="1:5" x14ac:dyDescent="0.2">
      <c r="A14" t="s">
        <v>20</v>
      </c>
      <c r="B14" s="9">
        <v>0.5</v>
      </c>
      <c r="C14" t="s">
        <v>21</v>
      </c>
      <c r="D14" t="s">
        <v>10</v>
      </c>
      <c r="E14" t="s">
        <v>11</v>
      </c>
    </row>
    <row r="15" spans="1:5" x14ac:dyDescent="0.2">
      <c r="A15" t="s">
        <v>22</v>
      </c>
      <c r="B15" s="11" cm="1">
        <f t="array" ref="B15">farmer_hrs_wk*season_weeks</f>
        <v>1440</v>
      </c>
      <c r="C15" t="s">
        <v>23</v>
      </c>
      <c r="D15" t="s">
        <v>24</v>
      </c>
      <c r="E15" t="s">
        <v>25</v>
      </c>
    </row>
    <row r="16" spans="1:5" x14ac:dyDescent="0.2">
      <c r="A16" t="s">
        <v>26</v>
      </c>
      <c r="B16" s="11" cm="1">
        <f t="array" ref="B16">farmer_hrs_paid*farmer_field_pct</f>
        <v>720</v>
      </c>
      <c r="C16" t="s">
        <v>23</v>
      </c>
      <c r="D16" t="s">
        <v>27</v>
      </c>
      <c r="E16" t="s">
        <v>25</v>
      </c>
    </row>
    <row r="17" spans="1:6" x14ac:dyDescent="0.2">
      <c r="A17" t="s">
        <v>28</v>
      </c>
      <c r="B17" s="12" cm="1">
        <f t="array" ref="B17">farmer_salary/farmer_hrs_paid</f>
        <v>34.722222222222221</v>
      </c>
      <c r="C17" t="s">
        <v>29</v>
      </c>
      <c r="D17" t="s">
        <v>30</v>
      </c>
      <c r="E17" t="s">
        <v>25</v>
      </c>
    </row>
    <row r="18" spans="1:6" x14ac:dyDescent="0.2">
      <c r="A18" t="s">
        <v>31</v>
      </c>
      <c r="B18" s="8">
        <v>25000</v>
      </c>
      <c r="C18" t="s">
        <v>32</v>
      </c>
      <c r="D18" t="s">
        <v>10</v>
      </c>
      <c r="E18" t="s">
        <v>11</v>
      </c>
    </row>
    <row r="19" spans="1:6" x14ac:dyDescent="0.2">
      <c r="A19" t="s">
        <v>33</v>
      </c>
      <c r="B19" s="13">
        <v>1440</v>
      </c>
      <c r="C19" t="s">
        <v>34</v>
      </c>
      <c r="D19" t="s">
        <v>35</v>
      </c>
      <c r="E19" t="s">
        <v>11</v>
      </c>
    </row>
    <row r="20" spans="1:6" x14ac:dyDescent="0.2">
      <c r="A20" t="s">
        <v>36</v>
      </c>
      <c r="B20" s="12" cm="1">
        <f t="array" ref="B20">temp_salary/temp_hrs_each</f>
        <v>17.361111111111111</v>
      </c>
      <c r="C20" t="s">
        <v>29</v>
      </c>
      <c r="D20" t="s">
        <v>37</v>
      </c>
      <c r="E20" t="s">
        <v>25</v>
      </c>
    </row>
    <row r="21" spans="1:6" x14ac:dyDescent="0.2">
      <c r="A21" t="s">
        <v>38</v>
      </c>
      <c r="B21" s="7">
        <v>4</v>
      </c>
      <c r="C21" t="s">
        <v>39</v>
      </c>
      <c r="D21" t="s">
        <v>10</v>
      </c>
      <c r="E21" t="s">
        <v>11</v>
      </c>
    </row>
    <row r="22" spans="1:6" x14ac:dyDescent="0.2">
      <c r="A22" t="s">
        <v>40</v>
      </c>
      <c r="B22" s="14" cm="1">
        <f t="array" ref="B22">temp_max*temp_hrs_each</f>
        <v>5760</v>
      </c>
      <c r="C22" t="s">
        <v>23</v>
      </c>
      <c r="D22" t="s">
        <v>41</v>
      </c>
      <c r="E22" t="s">
        <v>25</v>
      </c>
    </row>
    <row r="24" spans="1:6" x14ac:dyDescent="0.2">
      <c r="A24" s="4" t="s">
        <v>42</v>
      </c>
      <c r="B24" s="5"/>
      <c r="C24" s="5"/>
      <c r="D24" s="5"/>
      <c r="E24" s="5"/>
      <c r="F24" s="5"/>
    </row>
    <row r="25" spans="1:6" x14ac:dyDescent="0.2">
      <c r="A25" s="3" t="s">
        <v>3</v>
      </c>
      <c r="B25" s="6" t="s">
        <v>43</v>
      </c>
      <c r="C25" s="6" t="s">
        <v>44</v>
      </c>
      <c r="D25" s="6" t="s">
        <v>45</v>
      </c>
      <c r="E25" s="6" t="s">
        <v>5</v>
      </c>
      <c r="F25" s="6" t="s">
        <v>7</v>
      </c>
    </row>
    <row r="26" spans="1:6" x14ac:dyDescent="0.2">
      <c r="A26" t="s">
        <v>46</v>
      </c>
      <c r="B26" s="8">
        <v>8800</v>
      </c>
      <c r="C26" s="8">
        <v>2094</v>
      </c>
      <c r="D26" s="8">
        <v>2700</v>
      </c>
      <c r="E26" t="s">
        <v>47</v>
      </c>
      <c r="F26" t="s">
        <v>48</v>
      </c>
    </row>
    <row r="27" spans="1:6" x14ac:dyDescent="0.2">
      <c r="A27" t="s">
        <v>49</v>
      </c>
      <c r="B27" s="8">
        <v>880</v>
      </c>
      <c r="C27" s="8">
        <v>440</v>
      </c>
      <c r="D27" s="8">
        <v>880</v>
      </c>
      <c r="E27" t="s">
        <v>47</v>
      </c>
      <c r="F27" t="s">
        <v>48</v>
      </c>
    </row>
    <row r="28" spans="1:6" x14ac:dyDescent="0.2">
      <c r="A28" t="s">
        <v>50</v>
      </c>
      <c r="B28" s="15">
        <v>0.1</v>
      </c>
      <c r="C28" s="15">
        <v>2.5000000000000001E-2</v>
      </c>
      <c r="D28" s="15">
        <v>1.2500000000000001E-2</v>
      </c>
      <c r="E28" t="s">
        <v>51</v>
      </c>
      <c r="F28" t="s">
        <v>48</v>
      </c>
    </row>
    <row r="29" spans="1:6" x14ac:dyDescent="0.2">
      <c r="A29" t="s">
        <v>52</v>
      </c>
      <c r="B29" s="7">
        <v>20</v>
      </c>
      <c r="C29" s="7">
        <v>20</v>
      </c>
      <c r="D29" s="7">
        <v>30</v>
      </c>
      <c r="E29" t="s">
        <v>13</v>
      </c>
      <c r="F29" t="s">
        <v>48</v>
      </c>
    </row>
    <row r="30" spans="1:6" x14ac:dyDescent="0.2">
      <c r="A30" t="s">
        <v>53</v>
      </c>
      <c r="B30" s="16">
        <v>2.5</v>
      </c>
      <c r="C30" s="17" cm="1">
        <f t="array" ref="C30">tomato_crop_hrswk/3</f>
        <v>0.83333333333333337</v>
      </c>
      <c r="D30" s="17" cm="1">
        <f t="array" ref="D30">tomato_crop_hrswk/2</f>
        <v>1.25</v>
      </c>
      <c r="E30" t="s">
        <v>54</v>
      </c>
      <c r="F30" t="s">
        <v>55</v>
      </c>
    </row>
    <row r="32" spans="1:6" x14ac:dyDescent="0.2">
      <c r="A32" s="4" t="s">
        <v>56</v>
      </c>
      <c r="B32" s="5"/>
      <c r="C32" s="5"/>
      <c r="D32" s="5"/>
      <c r="E32" s="5"/>
      <c r="F32" s="5"/>
    </row>
    <row r="33" spans="1:5" x14ac:dyDescent="0.2">
      <c r="A33" s="3" t="s">
        <v>57</v>
      </c>
      <c r="B33" s="6" t="s">
        <v>58</v>
      </c>
      <c r="C33" s="6" t="s">
        <v>59</v>
      </c>
      <c r="D33" s="3" t="s">
        <v>60</v>
      </c>
      <c r="E33" s="3" t="s">
        <v>61</v>
      </c>
    </row>
    <row r="34" spans="1:5" x14ac:dyDescent="0.2">
      <c r="A34" t="s">
        <v>62</v>
      </c>
      <c r="B34" s="18">
        <f>1*tomato_crop_hrswk*season_weeks*(1+tomato_crop_dim)^1</f>
        <v>99.000000000000014</v>
      </c>
      <c r="C34" s="19">
        <v>99</v>
      </c>
      <c r="D34" t="str">
        <f>IF(ABS(anchor_tomato_q1-anchor_tomato_q1_req)&lt;0.05,"PASS","FAIL")</f>
        <v>PASS</v>
      </c>
      <c r="E34" t="s">
        <v>63</v>
      </c>
    </row>
    <row r="35" spans="1:5" x14ac:dyDescent="0.2">
      <c r="A35" t="s">
        <v>64</v>
      </c>
      <c r="B35" s="18">
        <f>10*tomato_crop_hrswk*season_weeks*(1+tomato_crop_dim)^10</f>
        <v>2334.3682140900019</v>
      </c>
      <c r="C35" s="19">
        <v>2334.4</v>
      </c>
      <c r="D35" t="str">
        <f>IF(ABS(anchor_tomato_q10-anchor_tomato_q10_req)&lt;0.05,"PASS","FAIL")</f>
        <v>PASS</v>
      </c>
      <c r="E35" t="s">
        <v>65</v>
      </c>
    </row>
    <row r="36" spans="1:5" x14ac:dyDescent="0.2">
      <c r="A36" t="s">
        <v>66</v>
      </c>
      <c r="B36" s="20">
        <f>farmer_hrs_field*farmer_wage</f>
        <v>25000</v>
      </c>
      <c r="C36" s="21">
        <v>25000</v>
      </c>
      <c r="D36" t="str">
        <f>IF(ABS(check_wage_dollars-check_wage_dollars_req)&lt;0.01,"PASS","FAIL")</f>
        <v>PASS</v>
      </c>
      <c r="E36" t="s">
        <v>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2E359-A821-3E4B-ACF1-13579D129FE6}">
  <dimension ref="A1:AC93"/>
  <sheetViews>
    <sheetView workbookViewId="0">
      <pane xSplit="1" topLeftCell="B1" activePane="topRight" state="frozen"/>
      <selection pane="topRight"/>
    </sheetView>
  </sheetViews>
  <sheetFormatPr baseColWidth="10" defaultRowHeight="16" outlineLevelCol="1" x14ac:dyDescent="0.2"/>
  <cols>
    <col min="1" max="1" width="9.1640625" customWidth="1"/>
    <col min="2" max="5" width="18.33203125" customWidth="1"/>
    <col min="6" max="14" width="12" customWidth="1"/>
    <col min="15" max="16" width="10.83203125" outlineLevel="1"/>
    <col min="17" max="18" width="13.1640625" customWidth="1" outlineLevel="1"/>
    <col min="19" max="23" width="10.83203125" outlineLevel="1"/>
    <col min="24" max="25" width="13.1640625" customWidth="1" outlineLevel="1"/>
    <col min="26" max="29" width="10.83203125" outlineLevel="1"/>
  </cols>
  <sheetData>
    <row r="1" spans="1:29" ht="19" x14ac:dyDescent="0.25">
      <c r="A1" s="1" t="s">
        <v>68</v>
      </c>
    </row>
    <row r="2" spans="1:29" x14ac:dyDescent="0.2">
      <c r="A2" s="2" t="s">
        <v>99</v>
      </c>
    </row>
    <row r="4" spans="1:29" x14ac:dyDescent="0.2">
      <c r="A4" s="4" t="s">
        <v>69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 spans="1:29" x14ac:dyDescent="0.2">
      <c r="A5" t="s">
        <v>70</v>
      </c>
      <c r="B5" t="s">
        <v>71</v>
      </c>
      <c r="C5" t="s">
        <v>72</v>
      </c>
      <c r="D5" t="s">
        <v>73</v>
      </c>
      <c r="E5" t="s">
        <v>74</v>
      </c>
      <c r="F5" t="s">
        <v>75</v>
      </c>
      <c r="G5" t="s">
        <v>76</v>
      </c>
      <c r="H5" t="s">
        <v>77</v>
      </c>
      <c r="I5" t="s">
        <v>78</v>
      </c>
      <c r="J5" t="s">
        <v>79</v>
      </c>
      <c r="K5" t="s">
        <v>80</v>
      </c>
      <c r="L5" t="s">
        <v>81</v>
      </c>
      <c r="M5" t="s">
        <v>82</v>
      </c>
      <c r="N5" t="s">
        <v>83</v>
      </c>
      <c r="O5" t="s">
        <v>84</v>
      </c>
      <c r="P5" t="s">
        <v>85</v>
      </c>
      <c r="Q5" t="s">
        <v>86</v>
      </c>
      <c r="R5" t="s">
        <v>87</v>
      </c>
      <c r="S5" t="s">
        <v>88</v>
      </c>
      <c r="T5" t="s">
        <v>89</v>
      </c>
      <c r="U5" t="s">
        <v>90</v>
      </c>
      <c r="V5" t="s">
        <v>91</v>
      </c>
      <c r="W5" t="s">
        <v>92</v>
      </c>
      <c r="X5" t="s">
        <v>93</v>
      </c>
      <c r="Y5" t="s">
        <v>94</v>
      </c>
      <c r="Z5" t="s">
        <v>95</v>
      </c>
      <c r="AA5" t="s">
        <v>96</v>
      </c>
      <c r="AB5" t="s">
        <v>97</v>
      </c>
      <c r="AC5" t="s">
        <v>98</v>
      </c>
    </row>
    <row r="6" spans="1:29" x14ac:dyDescent="0.2">
      <c r="A6" s="7">
        <v>0</v>
      </c>
      <c r="B6" s="23">
        <f>tomato_sched[[#This Row],[q]]*tomato_crop_hrswk*season_weeks*(1+tomato_crop_dim)^tomato_sched[[#This Row],[q]]</f>
        <v>0</v>
      </c>
      <c r="C6" s="23">
        <f>MIN(tomato_sched[[#This Row],[hrs]],farmer_hrs_field)</f>
        <v>0</v>
      </c>
      <c r="D6" s="23">
        <f>tomato_sched[[#This Row],[hrs]]-tomato_sched[[#This Row],[perm_hrs]]</f>
        <v>0</v>
      </c>
      <c r="E6" s="24">
        <f>tomato_sched[[#This Row],[perm_hrs]]*farmer_wage+tomato_sched[[#This Row],[temp_hrs]]*temp_wage</f>
        <v>0</v>
      </c>
      <c r="F6" s="24">
        <f>tomato_sched[[#This Row],[q]]*tomato_crop_fert</f>
        <v>0</v>
      </c>
      <c r="G6" s="24">
        <f>tomato_sched[[#This Row],[labor]]+tomato_sched[[#This Row],[fert]]</f>
        <v>0</v>
      </c>
      <c r="H6" s="24">
        <f>tomato_sched[[#This Row],[vc]]+fixed_costs</f>
        <v>20000</v>
      </c>
      <c r="I6" s="24" t="str">
        <f>IF(tomato_sched[[#This Row],[q]]=0,"",tomato_sched[[#This Row],[vc]]-tomato_sched[[#This Row],[vc_1]])</f>
        <v/>
      </c>
      <c r="J6" s="24" t="str">
        <f>IF(tomato_sched[[#This Row],[q]]=0,"",tomato_sched[[#This Row],[vc]]/tomato_sched[[#This Row],[q]])</f>
        <v/>
      </c>
      <c r="K6" s="24" t="str">
        <f>IF(tomato_sched[[#This Row],[q]]=0,"",tomato_sched[[#This Row],[tc]]/tomato_sched[[#This Row],[q]])</f>
        <v/>
      </c>
      <c r="L6" s="24">
        <f>tomato_crop_price</f>
        <v>8800</v>
      </c>
      <c r="M6" s="25">
        <f>IF(tomato_sched[[#This Row],[q]]=0,1,IF(tomato_sched[[#This Row],[mc]]&lt;=tomato_sched[[#This Row],[price]],1,0))</f>
        <v>1</v>
      </c>
      <c r="N6" s="25" t="str">
        <f>IF(tomato_sched[[#This Row],[q]]&lt;=1,"",IF(tomato_sched[[#This Row],[mc]]&lt;tomato_sched[[#This Row],[mc_1]],1,0))</f>
        <v/>
      </c>
      <c r="O6" s="10">
        <f>MAX(tomato_sched[[#This Row],[q]]-1,0)</f>
        <v>0</v>
      </c>
      <c r="P6" s="23">
        <f>tomato_sched[[#This Row],[q_1]]*tomato_crop_hrswk*season_weeks*(1+tomato_crop_dim)^tomato_sched[[#This Row],[q_1]]</f>
        <v>0</v>
      </c>
      <c r="Q6" s="23">
        <f>MIN(tomato_sched[[#This Row],[hrs_1]],farmer_hrs_field)</f>
        <v>0</v>
      </c>
      <c r="R6" s="23">
        <f>tomato_sched[[#This Row],[hrs_1]]-tomato_sched[[#This Row],[perm_hrs_1]]</f>
        <v>0</v>
      </c>
      <c r="S6" s="23">
        <f>tomato_sched[[#This Row],[perm_hrs_1]]*farmer_wage+tomato_sched[[#This Row],[temp_hrs_1]]*temp_wage</f>
        <v>0</v>
      </c>
      <c r="T6" s="23">
        <f>tomato_sched[[#This Row],[q_1]]*tomato_crop_fert</f>
        <v>0</v>
      </c>
      <c r="U6" s="23">
        <f>tomato_sched[[#This Row],[labor_1]]+tomato_sched[[#This Row],[fert_1]]</f>
        <v>0</v>
      </c>
      <c r="V6" s="23">
        <f>MAX(tomato_sched[[#This Row],[q]]-2,0)</f>
        <v>0</v>
      </c>
      <c r="W6" s="23">
        <f>tomato_sched[[#This Row],[q_2]]*tomato_crop_hrswk*season_weeks*(1+tomato_crop_dim)^tomato_sched[[#This Row],[q_2]]</f>
        <v>0</v>
      </c>
      <c r="X6" s="23">
        <f>MIN(tomato_sched[[#This Row],[hrs_2]],farmer_hrs_field)</f>
        <v>0</v>
      </c>
      <c r="Y6" s="23">
        <f>tomato_sched[[#This Row],[hrs_2]]-tomato_sched[[#This Row],[perm_hrs_2]]</f>
        <v>0</v>
      </c>
      <c r="Z6" s="23">
        <f>tomato_sched[[#This Row],[perm_hrs_2]]*farmer_wage+tomato_sched[[#This Row],[temp_hrs_2]]*temp_wage</f>
        <v>0</v>
      </c>
      <c r="AA6" s="23">
        <f>tomato_sched[[#This Row],[q_2]]*tomato_crop_fert</f>
        <v>0</v>
      </c>
      <c r="AB6" s="23">
        <f>tomato_sched[[#This Row],[labor_2]]+tomato_sched[[#This Row],[fert_2]]</f>
        <v>0</v>
      </c>
      <c r="AC6" s="23" t="str">
        <f>IF(tomato_sched[[#This Row],[q]]&lt;=1,"",tomato_sched[[#This Row],[vc_1]]-tomato_sched[[#This Row],[vc_2]])</f>
        <v/>
      </c>
    </row>
    <row r="7" spans="1:29" x14ac:dyDescent="0.2">
      <c r="A7" s="7">
        <v>1</v>
      </c>
      <c r="B7" s="23">
        <f>tomato_sched[[#This Row],[q]]*tomato_crop_hrswk*season_weeks*(1+tomato_crop_dim)^tomato_sched[[#This Row],[q]]</f>
        <v>99.000000000000014</v>
      </c>
      <c r="C7" s="23">
        <f>MIN(tomato_sched[[#This Row],[hrs]],farmer_hrs_field)</f>
        <v>99.000000000000014</v>
      </c>
      <c r="D7" s="23">
        <f>tomato_sched[[#This Row],[hrs]]-tomato_sched[[#This Row],[perm_hrs]]</f>
        <v>0</v>
      </c>
      <c r="E7" s="24">
        <f>tomato_sched[[#This Row],[perm_hrs]]*farmer_wage+tomato_sched[[#This Row],[temp_hrs]]*temp_wage</f>
        <v>3437.5000000000005</v>
      </c>
      <c r="F7" s="24">
        <f>tomato_sched[[#This Row],[q]]*tomato_crop_fert</f>
        <v>880</v>
      </c>
      <c r="G7" s="24">
        <f>tomato_sched[[#This Row],[labor]]+tomato_sched[[#This Row],[fert]]</f>
        <v>4317.5</v>
      </c>
      <c r="H7" s="24">
        <f>tomato_sched[[#This Row],[vc]]+fixed_costs</f>
        <v>24317.5</v>
      </c>
      <c r="I7" s="24">
        <f>IF(tomato_sched[[#This Row],[q]]=0,"",tomato_sched[[#This Row],[vc]]-tomato_sched[[#This Row],[vc_1]])</f>
        <v>4317.5</v>
      </c>
      <c r="J7" s="24">
        <f>IF(tomato_sched[[#This Row],[q]]=0,"",tomato_sched[[#This Row],[vc]]/tomato_sched[[#This Row],[q]])</f>
        <v>4317.5</v>
      </c>
      <c r="K7" s="24">
        <f>IF(tomato_sched[[#This Row],[q]]=0,"",tomato_sched[[#This Row],[tc]]/tomato_sched[[#This Row],[q]])</f>
        <v>24317.5</v>
      </c>
      <c r="L7" s="24">
        <f>tomato_crop_price</f>
        <v>8800</v>
      </c>
      <c r="M7" s="25">
        <f>IF(tomato_sched[[#This Row],[q]]=0,1,IF(tomato_sched[[#This Row],[mc]]&lt;=tomato_sched[[#This Row],[price]],1,0))</f>
        <v>1</v>
      </c>
      <c r="N7" s="25" t="str">
        <f>IF(tomato_sched[[#This Row],[q]]&lt;=1,"",IF(tomato_sched[[#This Row],[mc]]&lt;tomato_sched[[#This Row],[mc_1]],1,0))</f>
        <v/>
      </c>
      <c r="O7" s="10">
        <f>MAX(tomato_sched[[#This Row],[q]]-1,0)</f>
        <v>0</v>
      </c>
      <c r="P7" s="23">
        <f>tomato_sched[[#This Row],[q_1]]*tomato_crop_hrswk*season_weeks*(1+tomato_crop_dim)^tomato_sched[[#This Row],[q_1]]</f>
        <v>0</v>
      </c>
      <c r="Q7" s="23">
        <f>MIN(tomato_sched[[#This Row],[hrs_1]],farmer_hrs_field)</f>
        <v>0</v>
      </c>
      <c r="R7" s="23">
        <f>tomato_sched[[#This Row],[hrs_1]]-tomato_sched[[#This Row],[perm_hrs_1]]</f>
        <v>0</v>
      </c>
      <c r="S7" s="23">
        <f>tomato_sched[[#This Row],[perm_hrs_1]]*farmer_wage+tomato_sched[[#This Row],[temp_hrs_1]]*temp_wage</f>
        <v>0</v>
      </c>
      <c r="T7" s="23">
        <f>tomato_sched[[#This Row],[q_1]]*tomato_crop_fert</f>
        <v>0</v>
      </c>
      <c r="U7" s="23">
        <f>tomato_sched[[#This Row],[labor_1]]+tomato_sched[[#This Row],[fert_1]]</f>
        <v>0</v>
      </c>
      <c r="V7" s="23">
        <f>MAX(tomato_sched[[#This Row],[q]]-2,0)</f>
        <v>0</v>
      </c>
      <c r="W7" s="23">
        <f>tomato_sched[[#This Row],[q_2]]*tomato_crop_hrswk*season_weeks*(1+tomato_crop_dim)^tomato_sched[[#This Row],[q_2]]</f>
        <v>0</v>
      </c>
      <c r="X7" s="23">
        <f>MIN(tomato_sched[[#This Row],[hrs_2]],farmer_hrs_field)</f>
        <v>0</v>
      </c>
      <c r="Y7" s="23">
        <f>tomato_sched[[#This Row],[hrs_2]]-tomato_sched[[#This Row],[perm_hrs_2]]</f>
        <v>0</v>
      </c>
      <c r="Z7" s="23">
        <f>tomato_sched[[#This Row],[perm_hrs_2]]*farmer_wage+tomato_sched[[#This Row],[temp_hrs_2]]*temp_wage</f>
        <v>0</v>
      </c>
      <c r="AA7" s="23">
        <f>tomato_sched[[#This Row],[q_2]]*tomato_crop_fert</f>
        <v>0</v>
      </c>
      <c r="AB7" s="23">
        <f>tomato_sched[[#This Row],[labor_2]]+tomato_sched[[#This Row],[fert_2]]</f>
        <v>0</v>
      </c>
      <c r="AC7" s="23" t="str">
        <f>IF(tomato_sched[[#This Row],[q]]&lt;=1,"",tomato_sched[[#This Row],[vc_1]]-tomato_sched[[#This Row],[vc_2]])</f>
        <v/>
      </c>
    </row>
    <row r="8" spans="1:29" x14ac:dyDescent="0.2">
      <c r="A8" s="7">
        <v>2</v>
      </c>
      <c r="B8" s="23">
        <f>tomato_sched[[#This Row],[q]]*tomato_crop_hrswk*season_weeks*(1+tomato_crop_dim)^tomato_sched[[#This Row],[q]]</f>
        <v>217.80000000000004</v>
      </c>
      <c r="C8" s="23">
        <f>MIN(tomato_sched[[#This Row],[hrs]],farmer_hrs_field)</f>
        <v>217.80000000000004</v>
      </c>
      <c r="D8" s="23">
        <f>tomato_sched[[#This Row],[hrs]]-tomato_sched[[#This Row],[perm_hrs]]</f>
        <v>0</v>
      </c>
      <c r="E8" s="24">
        <f>tomato_sched[[#This Row],[perm_hrs]]*farmer_wage+tomato_sched[[#This Row],[temp_hrs]]*temp_wage</f>
        <v>7562.5000000000009</v>
      </c>
      <c r="F8" s="24">
        <f>tomato_sched[[#This Row],[q]]*tomato_crop_fert</f>
        <v>1760</v>
      </c>
      <c r="G8" s="24">
        <f>tomato_sched[[#This Row],[labor]]+tomato_sched[[#This Row],[fert]]</f>
        <v>9322.5</v>
      </c>
      <c r="H8" s="24">
        <f>tomato_sched[[#This Row],[vc]]+fixed_costs</f>
        <v>29322.5</v>
      </c>
      <c r="I8" s="24">
        <f>IF(tomato_sched[[#This Row],[q]]=0,"",tomato_sched[[#This Row],[vc]]-tomato_sched[[#This Row],[vc_1]])</f>
        <v>5005</v>
      </c>
      <c r="J8" s="24">
        <f>IF(tomato_sched[[#This Row],[q]]=0,"",tomato_sched[[#This Row],[vc]]/tomato_sched[[#This Row],[q]])</f>
        <v>4661.25</v>
      </c>
      <c r="K8" s="24">
        <f>IF(tomato_sched[[#This Row],[q]]=0,"",tomato_sched[[#This Row],[tc]]/tomato_sched[[#This Row],[q]])</f>
        <v>14661.25</v>
      </c>
      <c r="L8" s="24">
        <f>tomato_crop_price</f>
        <v>8800</v>
      </c>
      <c r="M8" s="25">
        <f>IF(tomato_sched[[#This Row],[q]]=0,1,IF(tomato_sched[[#This Row],[mc]]&lt;=tomato_sched[[#This Row],[price]],1,0))</f>
        <v>1</v>
      </c>
      <c r="N8" s="25">
        <f>IF(tomato_sched[[#This Row],[q]]&lt;=1,"",IF(tomato_sched[[#This Row],[mc]]&lt;tomato_sched[[#This Row],[mc_1]],1,0))</f>
        <v>0</v>
      </c>
      <c r="O8" s="10">
        <f>MAX(tomato_sched[[#This Row],[q]]-1,0)</f>
        <v>1</v>
      </c>
      <c r="P8" s="23">
        <f>tomato_sched[[#This Row],[q_1]]*tomato_crop_hrswk*season_weeks*(1+tomato_crop_dim)^tomato_sched[[#This Row],[q_1]]</f>
        <v>99.000000000000014</v>
      </c>
      <c r="Q8" s="23">
        <f>MIN(tomato_sched[[#This Row],[hrs_1]],farmer_hrs_field)</f>
        <v>99.000000000000014</v>
      </c>
      <c r="R8" s="23">
        <f>tomato_sched[[#This Row],[hrs_1]]-tomato_sched[[#This Row],[perm_hrs_1]]</f>
        <v>0</v>
      </c>
      <c r="S8" s="23">
        <f>tomato_sched[[#This Row],[perm_hrs_1]]*farmer_wage+tomato_sched[[#This Row],[temp_hrs_1]]*temp_wage</f>
        <v>3437.5000000000005</v>
      </c>
      <c r="T8" s="23">
        <f>tomato_sched[[#This Row],[q_1]]*tomato_crop_fert</f>
        <v>880</v>
      </c>
      <c r="U8" s="23">
        <f>tomato_sched[[#This Row],[labor_1]]+tomato_sched[[#This Row],[fert_1]]</f>
        <v>4317.5</v>
      </c>
      <c r="V8" s="23">
        <f>MAX(tomato_sched[[#This Row],[q]]-2,0)</f>
        <v>0</v>
      </c>
      <c r="W8" s="23">
        <f>tomato_sched[[#This Row],[q_2]]*tomato_crop_hrswk*season_weeks*(1+tomato_crop_dim)^tomato_sched[[#This Row],[q_2]]</f>
        <v>0</v>
      </c>
      <c r="X8" s="23">
        <f>MIN(tomato_sched[[#This Row],[hrs_2]],farmer_hrs_field)</f>
        <v>0</v>
      </c>
      <c r="Y8" s="23">
        <f>tomato_sched[[#This Row],[hrs_2]]-tomato_sched[[#This Row],[perm_hrs_2]]</f>
        <v>0</v>
      </c>
      <c r="Z8" s="23">
        <f>tomato_sched[[#This Row],[perm_hrs_2]]*farmer_wage+tomato_sched[[#This Row],[temp_hrs_2]]*temp_wage</f>
        <v>0</v>
      </c>
      <c r="AA8" s="23">
        <f>tomato_sched[[#This Row],[q_2]]*tomato_crop_fert</f>
        <v>0</v>
      </c>
      <c r="AB8" s="23">
        <f>tomato_sched[[#This Row],[labor_2]]+tomato_sched[[#This Row],[fert_2]]</f>
        <v>0</v>
      </c>
      <c r="AC8" s="23">
        <f>IF(tomato_sched[[#This Row],[q]]&lt;=1,"",tomato_sched[[#This Row],[vc_1]]-tomato_sched[[#This Row],[vc_2]])</f>
        <v>4317.5</v>
      </c>
    </row>
    <row r="9" spans="1:29" x14ac:dyDescent="0.2">
      <c r="A9" s="7">
        <v>3</v>
      </c>
      <c r="B9" s="23">
        <f>tomato_sched[[#This Row],[q]]*tomato_crop_hrswk*season_weeks*(1+tomato_crop_dim)^tomato_sched[[#This Row],[q]]</f>
        <v>359.37000000000012</v>
      </c>
      <c r="C9" s="23">
        <f>MIN(tomato_sched[[#This Row],[hrs]],farmer_hrs_field)</f>
        <v>359.37000000000012</v>
      </c>
      <c r="D9" s="23">
        <f>tomato_sched[[#This Row],[hrs]]-tomato_sched[[#This Row],[perm_hrs]]</f>
        <v>0</v>
      </c>
      <c r="E9" s="24">
        <f>tomato_sched[[#This Row],[perm_hrs]]*farmer_wage+tomato_sched[[#This Row],[temp_hrs]]*temp_wage</f>
        <v>12478.125000000004</v>
      </c>
      <c r="F9" s="24">
        <f>tomato_sched[[#This Row],[q]]*tomato_crop_fert</f>
        <v>2640</v>
      </c>
      <c r="G9" s="24">
        <f>tomato_sched[[#This Row],[labor]]+tomato_sched[[#This Row],[fert]]</f>
        <v>15118.125000000004</v>
      </c>
      <c r="H9" s="24">
        <f>tomato_sched[[#This Row],[vc]]+fixed_costs</f>
        <v>35118.125</v>
      </c>
      <c r="I9" s="24">
        <f>IF(tomato_sched[[#This Row],[q]]=0,"",tomato_sched[[#This Row],[vc]]-tomato_sched[[#This Row],[vc_1]])</f>
        <v>5795.6250000000036</v>
      </c>
      <c r="J9" s="24">
        <f>IF(tomato_sched[[#This Row],[q]]=0,"",tomato_sched[[#This Row],[vc]]/tomato_sched[[#This Row],[q]])</f>
        <v>5039.3750000000009</v>
      </c>
      <c r="K9" s="24">
        <f>IF(tomato_sched[[#This Row],[q]]=0,"",tomato_sched[[#This Row],[tc]]/tomato_sched[[#This Row],[q]])</f>
        <v>11706.041666666666</v>
      </c>
      <c r="L9" s="24">
        <f>tomato_crop_price</f>
        <v>8800</v>
      </c>
      <c r="M9" s="25">
        <f>IF(tomato_sched[[#This Row],[q]]=0,1,IF(tomato_sched[[#This Row],[mc]]&lt;=tomato_sched[[#This Row],[price]],1,0))</f>
        <v>1</v>
      </c>
      <c r="N9" s="25">
        <f>IF(tomato_sched[[#This Row],[q]]&lt;=1,"",IF(tomato_sched[[#This Row],[mc]]&lt;tomato_sched[[#This Row],[mc_1]],1,0))</f>
        <v>0</v>
      </c>
      <c r="O9" s="10">
        <f>MAX(tomato_sched[[#This Row],[q]]-1,0)</f>
        <v>2</v>
      </c>
      <c r="P9" s="23">
        <f>tomato_sched[[#This Row],[q_1]]*tomato_crop_hrswk*season_weeks*(1+tomato_crop_dim)^tomato_sched[[#This Row],[q_1]]</f>
        <v>217.80000000000004</v>
      </c>
      <c r="Q9" s="23">
        <f>MIN(tomato_sched[[#This Row],[hrs_1]],farmer_hrs_field)</f>
        <v>217.80000000000004</v>
      </c>
      <c r="R9" s="23">
        <f>tomato_sched[[#This Row],[hrs_1]]-tomato_sched[[#This Row],[perm_hrs_1]]</f>
        <v>0</v>
      </c>
      <c r="S9" s="23">
        <f>tomato_sched[[#This Row],[perm_hrs_1]]*farmer_wage+tomato_sched[[#This Row],[temp_hrs_1]]*temp_wage</f>
        <v>7562.5000000000009</v>
      </c>
      <c r="T9" s="23">
        <f>tomato_sched[[#This Row],[q_1]]*tomato_crop_fert</f>
        <v>1760</v>
      </c>
      <c r="U9" s="23">
        <f>tomato_sched[[#This Row],[labor_1]]+tomato_sched[[#This Row],[fert_1]]</f>
        <v>9322.5</v>
      </c>
      <c r="V9" s="23">
        <f>MAX(tomato_sched[[#This Row],[q]]-2,0)</f>
        <v>1</v>
      </c>
      <c r="W9" s="23">
        <f>tomato_sched[[#This Row],[q_2]]*tomato_crop_hrswk*season_weeks*(1+tomato_crop_dim)^tomato_sched[[#This Row],[q_2]]</f>
        <v>99.000000000000014</v>
      </c>
      <c r="X9" s="23">
        <f>MIN(tomato_sched[[#This Row],[hrs_2]],farmer_hrs_field)</f>
        <v>99.000000000000014</v>
      </c>
      <c r="Y9" s="23">
        <f>tomato_sched[[#This Row],[hrs_2]]-tomato_sched[[#This Row],[perm_hrs_2]]</f>
        <v>0</v>
      </c>
      <c r="Z9" s="23">
        <f>tomato_sched[[#This Row],[perm_hrs_2]]*farmer_wage+tomato_sched[[#This Row],[temp_hrs_2]]*temp_wage</f>
        <v>3437.5000000000005</v>
      </c>
      <c r="AA9" s="23">
        <f>tomato_sched[[#This Row],[q_2]]*tomato_crop_fert</f>
        <v>880</v>
      </c>
      <c r="AB9" s="23">
        <f>tomato_sched[[#This Row],[labor_2]]+tomato_sched[[#This Row],[fert_2]]</f>
        <v>4317.5</v>
      </c>
      <c r="AC9" s="23">
        <f>IF(tomato_sched[[#This Row],[q]]&lt;=1,"",tomato_sched[[#This Row],[vc_1]]-tomato_sched[[#This Row],[vc_2]])</f>
        <v>5005</v>
      </c>
    </row>
    <row r="10" spans="1:29" x14ac:dyDescent="0.2">
      <c r="A10" s="7">
        <v>4</v>
      </c>
      <c r="B10" s="23">
        <f>tomato_sched[[#This Row],[q]]*tomato_crop_hrswk*season_weeks*(1+tomato_crop_dim)^tomato_sched[[#This Row],[q]]</f>
        <v>527.07600000000014</v>
      </c>
      <c r="C10" s="23">
        <f>MIN(tomato_sched[[#This Row],[hrs]],farmer_hrs_field)</f>
        <v>527.07600000000014</v>
      </c>
      <c r="D10" s="23">
        <f>tomato_sched[[#This Row],[hrs]]-tomato_sched[[#This Row],[perm_hrs]]</f>
        <v>0</v>
      </c>
      <c r="E10" s="24">
        <f>tomato_sched[[#This Row],[perm_hrs]]*farmer_wage+tomato_sched[[#This Row],[temp_hrs]]*temp_wage</f>
        <v>18301.250000000004</v>
      </c>
      <c r="F10" s="24">
        <f>tomato_sched[[#This Row],[q]]*tomato_crop_fert</f>
        <v>3520</v>
      </c>
      <c r="G10" s="24">
        <f>tomato_sched[[#This Row],[labor]]+tomato_sched[[#This Row],[fert]]</f>
        <v>21821.250000000004</v>
      </c>
      <c r="H10" s="24">
        <f>tomato_sched[[#This Row],[vc]]+fixed_costs</f>
        <v>41821.25</v>
      </c>
      <c r="I10" s="24">
        <f>IF(tomato_sched[[#This Row],[q]]=0,"",tomato_sched[[#This Row],[vc]]-tomato_sched[[#This Row],[vc_1]])</f>
        <v>6703.125</v>
      </c>
      <c r="J10" s="24">
        <f>IF(tomato_sched[[#This Row],[q]]=0,"",tomato_sched[[#This Row],[vc]]/tomato_sched[[#This Row],[q]])</f>
        <v>5455.3125000000009</v>
      </c>
      <c r="K10" s="24">
        <f>IF(tomato_sched[[#This Row],[q]]=0,"",tomato_sched[[#This Row],[tc]]/tomato_sched[[#This Row],[q]])</f>
        <v>10455.3125</v>
      </c>
      <c r="L10" s="24">
        <f>tomato_crop_price</f>
        <v>8800</v>
      </c>
      <c r="M10" s="25">
        <f>IF(tomato_sched[[#This Row],[q]]=0,1,IF(tomato_sched[[#This Row],[mc]]&lt;=tomato_sched[[#This Row],[price]],1,0))</f>
        <v>1</v>
      </c>
      <c r="N10" s="25">
        <f>IF(tomato_sched[[#This Row],[q]]&lt;=1,"",IF(tomato_sched[[#This Row],[mc]]&lt;tomato_sched[[#This Row],[mc_1]],1,0))</f>
        <v>0</v>
      </c>
      <c r="O10" s="10">
        <f>MAX(tomato_sched[[#This Row],[q]]-1,0)</f>
        <v>3</v>
      </c>
      <c r="P10" s="23">
        <f>tomato_sched[[#This Row],[q_1]]*tomato_crop_hrswk*season_weeks*(1+tomato_crop_dim)^tomato_sched[[#This Row],[q_1]]</f>
        <v>359.37000000000012</v>
      </c>
      <c r="Q10" s="23">
        <f>MIN(tomato_sched[[#This Row],[hrs_1]],farmer_hrs_field)</f>
        <v>359.37000000000012</v>
      </c>
      <c r="R10" s="23">
        <f>tomato_sched[[#This Row],[hrs_1]]-tomato_sched[[#This Row],[perm_hrs_1]]</f>
        <v>0</v>
      </c>
      <c r="S10" s="23">
        <f>tomato_sched[[#This Row],[perm_hrs_1]]*farmer_wage+tomato_sched[[#This Row],[temp_hrs_1]]*temp_wage</f>
        <v>12478.125000000004</v>
      </c>
      <c r="T10" s="23">
        <f>tomato_sched[[#This Row],[q_1]]*tomato_crop_fert</f>
        <v>2640</v>
      </c>
      <c r="U10" s="23">
        <f>tomato_sched[[#This Row],[labor_1]]+tomato_sched[[#This Row],[fert_1]]</f>
        <v>15118.125000000004</v>
      </c>
      <c r="V10" s="23">
        <f>MAX(tomato_sched[[#This Row],[q]]-2,0)</f>
        <v>2</v>
      </c>
      <c r="W10" s="23">
        <f>tomato_sched[[#This Row],[q_2]]*tomato_crop_hrswk*season_weeks*(1+tomato_crop_dim)^tomato_sched[[#This Row],[q_2]]</f>
        <v>217.80000000000004</v>
      </c>
      <c r="X10" s="23">
        <f>MIN(tomato_sched[[#This Row],[hrs_2]],farmer_hrs_field)</f>
        <v>217.80000000000004</v>
      </c>
      <c r="Y10" s="23">
        <f>tomato_sched[[#This Row],[hrs_2]]-tomato_sched[[#This Row],[perm_hrs_2]]</f>
        <v>0</v>
      </c>
      <c r="Z10" s="23">
        <f>tomato_sched[[#This Row],[perm_hrs_2]]*farmer_wage+tomato_sched[[#This Row],[temp_hrs_2]]*temp_wage</f>
        <v>7562.5000000000009</v>
      </c>
      <c r="AA10" s="23">
        <f>tomato_sched[[#This Row],[q_2]]*tomato_crop_fert</f>
        <v>1760</v>
      </c>
      <c r="AB10" s="23">
        <f>tomato_sched[[#This Row],[labor_2]]+tomato_sched[[#This Row],[fert_2]]</f>
        <v>9322.5</v>
      </c>
      <c r="AC10" s="23">
        <f>IF(tomato_sched[[#This Row],[q]]&lt;=1,"",tomato_sched[[#This Row],[vc_1]]-tomato_sched[[#This Row],[vc_2]])</f>
        <v>5795.6250000000036</v>
      </c>
    </row>
    <row r="11" spans="1:29" x14ac:dyDescent="0.2">
      <c r="A11" s="7">
        <v>5</v>
      </c>
      <c r="B11" s="23">
        <f>tomato_sched[[#This Row],[q]]*tomato_crop_hrswk*season_weeks*(1+tomato_crop_dim)^tomato_sched[[#This Row],[q]]</f>
        <v>724.72950000000026</v>
      </c>
      <c r="C11" s="23">
        <f>MIN(tomato_sched[[#This Row],[hrs]],farmer_hrs_field)</f>
        <v>720</v>
      </c>
      <c r="D11" s="23">
        <f>tomato_sched[[#This Row],[hrs]]-tomato_sched[[#This Row],[perm_hrs]]</f>
        <v>4.7295000000002574</v>
      </c>
      <c r="E11" s="24">
        <f>tomato_sched[[#This Row],[perm_hrs]]*farmer_wage+tomato_sched[[#This Row],[temp_hrs]]*temp_wage</f>
        <v>25082.109375000004</v>
      </c>
      <c r="F11" s="24">
        <f>tomato_sched[[#This Row],[q]]*tomato_crop_fert</f>
        <v>4400</v>
      </c>
      <c r="G11" s="24">
        <f>tomato_sched[[#This Row],[labor]]+tomato_sched[[#This Row],[fert]]</f>
        <v>29482.109375000004</v>
      </c>
      <c r="H11" s="24">
        <f>tomato_sched[[#This Row],[vc]]+fixed_costs</f>
        <v>49482.109375</v>
      </c>
      <c r="I11" s="24">
        <f>IF(tomato_sched[[#This Row],[q]]=0,"",tomato_sched[[#This Row],[vc]]-tomato_sched[[#This Row],[vc_1]])</f>
        <v>7660.859375</v>
      </c>
      <c r="J11" s="24">
        <f>IF(tomato_sched[[#This Row],[q]]=0,"",tomato_sched[[#This Row],[vc]]/tomato_sched[[#This Row],[q]])</f>
        <v>5896.4218750000009</v>
      </c>
      <c r="K11" s="24">
        <f>IF(tomato_sched[[#This Row],[q]]=0,"",tomato_sched[[#This Row],[tc]]/tomato_sched[[#This Row],[q]])</f>
        <v>9896.421875</v>
      </c>
      <c r="L11" s="24">
        <f>tomato_crop_price</f>
        <v>8800</v>
      </c>
      <c r="M11" s="25">
        <f>IF(tomato_sched[[#This Row],[q]]=0,1,IF(tomato_sched[[#This Row],[mc]]&lt;=tomato_sched[[#This Row],[price]],1,0))</f>
        <v>1</v>
      </c>
      <c r="N11" s="25">
        <f>IF(tomato_sched[[#This Row],[q]]&lt;=1,"",IF(tomato_sched[[#This Row],[mc]]&lt;tomato_sched[[#This Row],[mc_1]],1,0))</f>
        <v>0</v>
      </c>
      <c r="O11" s="10">
        <f>MAX(tomato_sched[[#This Row],[q]]-1,0)</f>
        <v>4</v>
      </c>
      <c r="P11" s="23">
        <f>tomato_sched[[#This Row],[q_1]]*tomato_crop_hrswk*season_weeks*(1+tomato_crop_dim)^tomato_sched[[#This Row],[q_1]]</f>
        <v>527.07600000000014</v>
      </c>
      <c r="Q11" s="23">
        <f>MIN(tomato_sched[[#This Row],[hrs_1]],farmer_hrs_field)</f>
        <v>527.07600000000014</v>
      </c>
      <c r="R11" s="23">
        <f>tomato_sched[[#This Row],[hrs_1]]-tomato_sched[[#This Row],[perm_hrs_1]]</f>
        <v>0</v>
      </c>
      <c r="S11" s="23">
        <f>tomato_sched[[#This Row],[perm_hrs_1]]*farmer_wage+tomato_sched[[#This Row],[temp_hrs_1]]*temp_wage</f>
        <v>18301.250000000004</v>
      </c>
      <c r="T11" s="23">
        <f>tomato_sched[[#This Row],[q_1]]*tomato_crop_fert</f>
        <v>3520</v>
      </c>
      <c r="U11" s="23">
        <f>tomato_sched[[#This Row],[labor_1]]+tomato_sched[[#This Row],[fert_1]]</f>
        <v>21821.250000000004</v>
      </c>
      <c r="V11" s="23">
        <f>MAX(tomato_sched[[#This Row],[q]]-2,0)</f>
        <v>3</v>
      </c>
      <c r="W11" s="23">
        <f>tomato_sched[[#This Row],[q_2]]*tomato_crop_hrswk*season_weeks*(1+tomato_crop_dim)^tomato_sched[[#This Row],[q_2]]</f>
        <v>359.37000000000012</v>
      </c>
      <c r="X11" s="23">
        <f>MIN(tomato_sched[[#This Row],[hrs_2]],farmer_hrs_field)</f>
        <v>359.37000000000012</v>
      </c>
      <c r="Y11" s="23">
        <f>tomato_sched[[#This Row],[hrs_2]]-tomato_sched[[#This Row],[perm_hrs_2]]</f>
        <v>0</v>
      </c>
      <c r="Z11" s="23">
        <f>tomato_sched[[#This Row],[perm_hrs_2]]*farmer_wage+tomato_sched[[#This Row],[temp_hrs_2]]*temp_wage</f>
        <v>12478.125000000004</v>
      </c>
      <c r="AA11" s="23">
        <f>tomato_sched[[#This Row],[q_2]]*tomato_crop_fert</f>
        <v>2640</v>
      </c>
      <c r="AB11" s="23">
        <f>tomato_sched[[#This Row],[labor_2]]+tomato_sched[[#This Row],[fert_2]]</f>
        <v>15118.125000000004</v>
      </c>
      <c r="AC11" s="23">
        <f>IF(tomato_sched[[#This Row],[q]]&lt;=1,"",tomato_sched[[#This Row],[vc_1]]-tomato_sched[[#This Row],[vc_2]])</f>
        <v>6703.125</v>
      </c>
    </row>
    <row r="12" spans="1:29" x14ac:dyDescent="0.2">
      <c r="A12" s="7">
        <v>6</v>
      </c>
      <c r="B12" s="23">
        <f>tomato_sched[[#This Row],[q]]*tomato_crop_hrswk*season_weeks*(1+tomato_crop_dim)^tomato_sched[[#This Row],[q]]</f>
        <v>956.64294000000041</v>
      </c>
      <c r="C12" s="23">
        <f>MIN(tomato_sched[[#This Row],[hrs]],farmer_hrs_field)</f>
        <v>720</v>
      </c>
      <c r="D12" s="23">
        <f>tomato_sched[[#This Row],[hrs]]-tomato_sched[[#This Row],[perm_hrs]]</f>
        <v>236.64294000000041</v>
      </c>
      <c r="E12" s="24">
        <f>tomato_sched[[#This Row],[perm_hrs]]*farmer_wage+tomato_sched[[#This Row],[temp_hrs]]*temp_wage</f>
        <v>29108.384375000009</v>
      </c>
      <c r="F12" s="24">
        <f>tomato_sched[[#This Row],[q]]*tomato_crop_fert</f>
        <v>5280</v>
      </c>
      <c r="G12" s="24">
        <f>tomato_sched[[#This Row],[labor]]+tomato_sched[[#This Row],[fert]]</f>
        <v>34388.384375000009</v>
      </c>
      <c r="H12" s="24">
        <f>tomato_sched[[#This Row],[vc]]+fixed_costs</f>
        <v>54388.384375000009</v>
      </c>
      <c r="I12" s="24">
        <f>IF(tomato_sched[[#This Row],[q]]=0,"",tomato_sched[[#This Row],[vc]]-tomato_sched[[#This Row],[vc_1]])</f>
        <v>4906.2750000000051</v>
      </c>
      <c r="J12" s="24">
        <f>IF(tomato_sched[[#This Row],[q]]=0,"",tomato_sched[[#This Row],[vc]]/tomato_sched[[#This Row],[q]])</f>
        <v>5731.3973958333345</v>
      </c>
      <c r="K12" s="24">
        <f>IF(tomato_sched[[#This Row],[q]]=0,"",tomato_sched[[#This Row],[tc]]/tomato_sched[[#This Row],[q]])</f>
        <v>9064.7307291666675</v>
      </c>
      <c r="L12" s="24">
        <f>tomato_crop_price</f>
        <v>8800</v>
      </c>
      <c r="M12" s="25">
        <f>IF(tomato_sched[[#This Row],[q]]=0,1,IF(tomato_sched[[#This Row],[mc]]&lt;=tomato_sched[[#This Row],[price]],1,0))</f>
        <v>1</v>
      </c>
      <c r="N12" s="25">
        <f>IF(tomato_sched[[#This Row],[q]]&lt;=1,"",IF(tomato_sched[[#This Row],[mc]]&lt;tomato_sched[[#This Row],[mc_1]],1,0))</f>
        <v>1</v>
      </c>
      <c r="O12" s="10">
        <f>MAX(tomato_sched[[#This Row],[q]]-1,0)</f>
        <v>5</v>
      </c>
      <c r="P12" s="23">
        <f>tomato_sched[[#This Row],[q_1]]*tomato_crop_hrswk*season_weeks*(1+tomato_crop_dim)^tomato_sched[[#This Row],[q_1]]</f>
        <v>724.72950000000026</v>
      </c>
      <c r="Q12" s="23">
        <f>MIN(tomato_sched[[#This Row],[hrs_1]],farmer_hrs_field)</f>
        <v>720</v>
      </c>
      <c r="R12" s="23">
        <f>tomato_sched[[#This Row],[hrs_1]]-tomato_sched[[#This Row],[perm_hrs_1]]</f>
        <v>4.7295000000002574</v>
      </c>
      <c r="S12" s="23">
        <f>tomato_sched[[#This Row],[perm_hrs_1]]*farmer_wage+tomato_sched[[#This Row],[temp_hrs_1]]*temp_wage</f>
        <v>25082.109375000004</v>
      </c>
      <c r="T12" s="23">
        <f>tomato_sched[[#This Row],[q_1]]*tomato_crop_fert</f>
        <v>4400</v>
      </c>
      <c r="U12" s="23">
        <f>tomato_sched[[#This Row],[labor_1]]+tomato_sched[[#This Row],[fert_1]]</f>
        <v>29482.109375000004</v>
      </c>
      <c r="V12" s="23">
        <f>MAX(tomato_sched[[#This Row],[q]]-2,0)</f>
        <v>4</v>
      </c>
      <c r="W12" s="23">
        <f>tomato_sched[[#This Row],[q_2]]*tomato_crop_hrswk*season_weeks*(1+tomato_crop_dim)^tomato_sched[[#This Row],[q_2]]</f>
        <v>527.07600000000014</v>
      </c>
      <c r="X12" s="23">
        <f>MIN(tomato_sched[[#This Row],[hrs_2]],farmer_hrs_field)</f>
        <v>527.07600000000014</v>
      </c>
      <c r="Y12" s="23">
        <f>tomato_sched[[#This Row],[hrs_2]]-tomato_sched[[#This Row],[perm_hrs_2]]</f>
        <v>0</v>
      </c>
      <c r="Z12" s="23">
        <f>tomato_sched[[#This Row],[perm_hrs_2]]*farmer_wage+tomato_sched[[#This Row],[temp_hrs_2]]*temp_wage</f>
        <v>18301.250000000004</v>
      </c>
      <c r="AA12" s="23">
        <f>tomato_sched[[#This Row],[q_2]]*tomato_crop_fert</f>
        <v>3520</v>
      </c>
      <c r="AB12" s="23">
        <f>tomato_sched[[#This Row],[labor_2]]+tomato_sched[[#This Row],[fert_2]]</f>
        <v>21821.250000000004</v>
      </c>
      <c r="AC12" s="23">
        <f>IF(tomato_sched[[#This Row],[q]]&lt;=1,"",tomato_sched[[#This Row],[vc_1]]-tomato_sched[[#This Row],[vc_2]])</f>
        <v>7660.859375</v>
      </c>
    </row>
    <row r="13" spans="1:29" x14ac:dyDescent="0.2">
      <c r="A13" s="7">
        <v>7</v>
      </c>
      <c r="B13" s="23">
        <f>tomato_sched[[#This Row],[q]]*tomato_crop_hrswk*season_weeks*(1+tomato_crop_dim)^tomato_sched[[#This Row],[q]]</f>
        <v>1227.6917730000007</v>
      </c>
      <c r="C13" s="23">
        <f>MIN(tomato_sched[[#This Row],[hrs]],farmer_hrs_field)</f>
        <v>720</v>
      </c>
      <c r="D13" s="23">
        <f>tomato_sched[[#This Row],[hrs]]-tomato_sched[[#This Row],[perm_hrs]]</f>
        <v>507.69177300000069</v>
      </c>
      <c r="E13" s="24">
        <f>tomato_sched[[#This Row],[perm_hrs]]*farmer_wage+tomato_sched[[#This Row],[temp_hrs]]*temp_wage</f>
        <v>33814.09328125001</v>
      </c>
      <c r="F13" s="24">
        <f>tomato_sched[[#This Row],[q]]*tomato_crop_fert</f>
        <v>6160</v>
      </c>
      <c r="G13" s="24">
        <f>tomato_sched[[#This Row],[labor]]+tomato_sched[[#This Row],[fert]]</f>
        <v>39974.09328125001</v>
      </c>
      <c r="H13" s="24">
        <f>tomato_sched[[#This Row],[vc]]+fixed_costs</f>
        <v>59974.09328125001</v>
      </c>
      <c r="I13" s="24">
        <f>IF(tomato_sched[[#This Row],[q]]=0,"",tomato_sched[[#This Row],[vc]]-tomato_sched[[#This Row],[vc_1]])</f>
        <v>5585.7089062500017</v>
      </c>
      <c r="J13" s="24">
        <f>IF(tomato_sched[[#This Row],[q]]=0,"",tomato_sched[[#This Row],[vc]]/tomato_sched[[#This Row],[q]])</f>
        <v>5710.5847544642875</v>
      </c>
      <c r="K13" s="24">
        <f>IF(tomato_sched[[#This Row],[q]]=0,"",tomato_sched[[#This Row],[tc]]/tomato_sched[[#This Row],[q]])</f>
        <v>8567.7276116071444</v>
      </c>
      <c r="L13" s="24">
        <f>tomato_crop_price</f>
        <v>8800</v>
      </c>
      <c r="M13" s="25">
        <f>IF(tomato_sched[[#This Row],[q]]=0,1,IF(tomato_sched[[#This Row],[mc]]&lt;=tomato_sched[[#This Row],[price]],1,0))</f>
        <v>1</v>
      </c>
      <c r="N13" s="25">
        <f>IF(tomato_sched[[#This Row],[q]]&lt;=1,"",IF(tomato_sched[[#This Row],[mc]]&lt;tomato_sched[[#This Row],[mc_1]],1,0))</f>
        <v>0</v>
      </c>
      <c r="O13" s="10">
        <f>MAX(tomato_sched[[#This Row],[q]]-1,0)</f>
        <v>6</v>
      </c>
      <c r="P13" s="23">
        <f>tomato_sched[[#This Row],[q_1]]*tomato_crop_hrswk*season_weeks*(1+tomato_crop_dim)^tomato_sched[[#This Row],[q_1]]</f>
        <v>956.64294000000041</v>
      </c>
      <c r="Q13" s="23">
        <f>MIN(tomato_sched[[#This Row],[hrs_1]],farmer_hrs_field)</f>
        <v>720</v>
      </c>
      <c r="R13" s="23">
        <f>tomato_sched[[#This Row],[hrs_1]]-tomato_sched[[#This Row],[perm_hrs_1]]</f>
        <v>236.64294000000041</v>
      </c>
      <c r="S13" s="23">
        <f>tomato_sched[[#This Row],[perm_hrs_1]]*farmer_wage+tomato_sched[[#This Row],[temp_hrs_1]]*temp_wage</f>
        <v>29108.384375000009</v>
      </c>
      <c r="T13" s="23">
        <f>tomato_sched[[#This Row],[q_1]]*tomato_crop_fert</f>
        <v>5280</v>
      </c>
      <c r="U13" s="23">
        <f>tomato_sched[[#This Row],[labor_1]]+tomato_sched[[#This Row],[fert_1]]</f>
        <v>34388.384375000009</v>
      </c>
      <c r="V13" s="23">
        <f>MAX(tomato_sched[[#This Row],[q]]-2,0)</f>
        <v>5</v>
      </c>
      <c r="W13" s="23">
        <f>tomato_sched[[#This Row],[q_2]]*tomato_crop_hrswk*season_weeks*(1+tomato_crop_dim)^tomato_sched[[#This Row],[q_2]]</f>
        <v>724.72950000000026</v>
      </c>
      <c r="X13" s="23">
        <f>MIN(tomato_sched[[#This Row],[hrs_2]],farmer_hrs_field)</f>
        <v>720</v>
      </c>
      <c r="Y13" s="23">
        <f>tomato_sched[[#This Row],[hrs_2]]-tomato_sched[[#This Row],[perm_hrs_2]]</f>
        <v>4.7295000000002574</v>
      </c>
      <c r="Z13" s="23">
        <f>tomato_sched[[#This Row],[perm_hrs_2]]*farmer_wage+tomato_sched[[#This Row],[temp_hrs_2]]*temp_wage</f>
        <v>25082.109375000004</v>
      </c>
      <c r="AA13" s="23">
        <f>tomato_sched[[#This Row],[q_2]]*tomato_crop_fert</f>
        <v>4400</v>
      </c>
      <c r="AB13" s="23">
        <f>tomato_sched[[#This Row],[labor_2]]+tomato_sched[[#This Row],[fert_2]]</f>
        <v>29482.109375000004</v>
      </c>
      <c r="AC13" s="23">
        <f>IF(tomato_sched[[#This Row],[q]]&lt;=1,"",tomato_sched[[#This Row],[vc_1]]-tomato_sched[[#This Row],[vc_2]])</f>
        <v>4906.2750000000051</v>
      </c>
    </row>
    <row r="14" spans="1:29" x14ac:dyDescent="0.2">
      <c r="A14" s="7">
        <v>8</v>
      </c>
      <c r="B14" s="23">
        <f>tomato_sched[[#This Row],[q]]*tomato_crop_hrswk*season_weeks*(1+tomato_crop_dim)^tomato_sched[[#This Row],[q]]</f>
        <v>1543.3839432000009</v>
      </c>
      <c r="C14" s="23">
        <f>MIN(tomato_sched[[#This Row],[hrs]],farmer_hrs_field)</f>
        <v>720</v>
      </c>
      <c r="D14" s="23">
        <f>tomato_sched[[#This Row],[hrs]]-tomato_sched[[#This Row],[perm_hrs]]</f>
        <v>823.38394320000089</v>
      </c>
      <c r="E14" s="24">
        <f>tomato_sched[[#This Row],[perm_hrs]]*farmer_wage+tomato_sched[[#This Row],[temp_hrs]]*temp_wage</f>
        <v>39294.860125000014</v>
      </c>
      <c r="F14" s="24">
        <f>tomato_sched[[#This Row],[q]]*tomato_crop_fert</f>
        <v>7040</v>
      </c>
      <c r="G14" s="24">
        <f>tomato_sched[[#This Row],[labor]]+tomato_sched[[#This Row],[fert]]</f>
        <v>46334.860125000014</v>
      </c>
      <c r="H14" s="24">
        <f>tomato_sched[[#This Row],[vc]]+fixed_costs</f>
        <v>66334.860125000007</v>
      </c>
      <c r="I14" s="24">
        <f>IF(tomato_sched[[#This Row],[q]]=0,"",tomato_sched[[#This Row],[vc]]-tomato_sched[[#This Row],[vc_1]])</f>
        <v>6360.7668437500033</v>
      </c>
      <c r="J14" s="24">
        <f>IF(tomato_sched[[#This Row],[q]]=0,"",tomato_sched[[#This Row],[vc]]/tomato_sched[[#This Row],[q]])</f>
        <v>5791.8575156250017</v>
      </c>
      <c r="K14" s="24">
        <f>IF(tomato_sched[[#This Row],[q]]=0,"",tomato_sched[[#This Row],[tc]]/tomato_sched[[#This Row],[q]])</f>
        <v>8291.8575156250008</v>
      </c>
      <c r="L14" s="24">
        <f>tomato_crop_price</f>
        <v>8800</v>
      </c>
      <c r="M14" s="25">
        <f>IF(tomato_sched[[#This Row],[q]]=0,1,IF(tomato_sched[[#This Row],[mc]]&lt;=tomato_sched[[#This Row],[price]],1,0))</f>
        <v>1</v>
      </c>
      <c r="N14" s="25">
        <f>IF(tomato_sched[[#This Row],[q]]&lt;=1,"",IF(tomato_sched[[#This Row],[mc]]&lt;tomato_sched[[#This Row],[mc_1]],1,0))</f>
        <v>0</v>
      </c>
      <c r="O14" s="10">
        <f>MAX(tomato_sched[[#This Row],[q]]-1,0)</f>
        <v>7</v>
      </c>
      <c r="P14" s="23">
        <f>tomato_sched[[#This Row],[q_1]]*tomato_crop_hrswk*season_weeks*(1+tomato_crop_dim)^tomato_sched[[#This Row],[q_1]]</f>
        <v>1227.6917730000007</v>
      </c>
      <c r="Q14" s="23">
        <f>MIN(tomato_sched[[#This Row],[hrs_1]],farmer_hrs_field)</f>
        <v>720</v>
      </c>
      <c r="R14" s="23">
        <f>tomato_sched[[#This Row],[hrs_1]]-tomato_sched[[#This Row],[perm_hrs_1]]</f>
        <v>507.69177300000069</v>
      </c>
      <c r="S14" s="23">
        <f>tomato_sched[[#This Row],[perm_hrs_1]]*farmer_wage+tomato_sched[[#This Row],[temp_hrs_1]]*temp_wage</f>
        <v>33814.09328125001</v>
      </c>
      <c r="T14" s="23">
        <f>tomato_sched[[#This Row],[q_1]]*tomato_crop_fert</f>
        <v>6160</v>
      </c>
      <c r="U14" s="23">
        <f>tomato_sched[[#This Row],[labor_1]]+tomato_sched[[#This Row],[fert_1]]</f>
        <v>39974.09328125001</v>
      </c>
      <c r="V14" s="23">
        <f>MAX(tomato_sched[[#This Row],[q]]-2,0)</f>
        <v>6</v>
      </c>
      <c r="W14" s="23">
        <f>tomato_sched[[#This Row],[q_2]]*tomato_crop_hrswk*season_weeks*(1+tomato_crop_dim)^tomato_sched[[#This Row],[q_2]]</f>
        <v>956.64294000000041</v>
      </c>
      <c r="X14" s="23">
        <f>MIN(tomato_sched[[#This Row],[hrs_2]],farmer_hrs_field)</f>
        <v>720</v>
      </c>
      <c r="Y14" s="23">
        <f>tomato_sched[[#This Row],[hrs_2]]-tomato_sched[[#This Row],[perm_hrs_2]]</f>
        <v>236.64294000000041</v>
      </c>
      <c r="Z14" s="23">
        <f>tomato_sched[[#This Row],[perm_hrs_2]]*farmer_wage+tomato_sched[[#This Row],[temp_hrs_2]]*temp_wage</f>
        <v>29108.384375000009</v>
      </c>
      <c r="AA14" s="23">
        <f>tomato_sched[[#This Row],[q_2]]*tomato_crop_fert</f>
        <v>5280</v>
      </c>
      <c r="AB14" s="23">
        <f>tomato_sched[[#This Row],[labor_2]]+tomato_sched[[#This Row],[fert_2]]</f>
        <v>34388.384375000009</v>
      </c>
      <c r="AC14" s="23">
        <f>IF(tomato_sched[[#This Row],[q]]&lt;=1,"",tomato_sched[[#This Row],[vc_1]]-tomato_sched[[#This Row],[vc_2]])</f>
        <v>5585.7089062500017</v>
      </c>
    </row>
    <row r="15" spans="1:29" x14ac:dyDescent="0.2">
      <c r="A15" s="7">
        <v>9</v>
      </c>
      <c r="B15" s="23">
        <f>tomato_sched[[#This Row],[q]]*tomato_crop_hrswk*season_weeks*(1+tomato_crop_dim)^tomato_sched[[#This Row],[q]]</f>
        <v>1909.9376297100011</v>
      </c>
      <c r="C15" s="23">
        <f>MIN(tomato_sched[[#This Row],[hrs]],farmer_hrs_field)</f>
        <v>720</v>
      </c>
      <c r="D15" s="23">
        <f>tomato_sched[[#This Row],[hrs]]-tomato_sched[[#This Row],[perm_hrs]]</f>
        <v>1189.9376297100011</v>
      </c>
      <c r="E15" s="24">
        <f>tomato_sched[[#This Row],[perm_hrs]]*farmer_wage+tomato_sched[[#This Row],[temp_hrs]]*temp_wage</f>
        <v>45658.639404687521</v>
      </c>
      <c r="F15" s="24">
        <f>tomato_sched[[#This Row],[q]]*tomato_crop_fert</f>
        <v>7920</v>
      </c>
      <c r="G15" s="24">
        <f>tomato_sched[[#This Row],[labor]]+tomato_sched[[#This Row],[fert]]</f>
        <v>53578.639404687521</v>
      </c>
      <c r="H15" s="24">
        <f>tomato_sched[[#This Row],[vc]]+fixed_costs</f>
        <v>73578.639404687521</v>
      </c>
      <c r="I15" s="24">
        <f>IF(tomato_sched[[#This Row],[q]]=0,"",tomato_sched[[#This Row],[vc]]-tomato_sched[[#This Row],[vc_1]])</f>
        <v>7243.7792796875074</v>
      </c>
      <c r="J15" s="24">
        <f>IF(tomato_sched[[#This Row],[q]]=0,"",tomato_sched[[#This Row],[vc]]/tomato_sched[[#This Row],[q]])</f>
        <v>5953.182156076391</v>
      </c>
      <c r="K15" s="24">
        <f>IF(tomato_sched[[#This Row],[q]]=0,"",tomato_sched[[#This Row],[tc]]/tomato_sched[[#This Row],[q]])</f>
        <v>8175.4043782986137</v>
      </c>
      <c r="L15" s="24">
        <f>tomato_crop_price</f>
        <v>8800</v>
      </c>
      <c r="M15" s="25">
        <f>IF(tomato_sched[[#This Row],[q]]=0,1,IF(tomato_sched[[#This Row],[mc]]&lt;=tomato_sched[[#This Row],[price]],1,0))</f>
        <v>1</v>
      </c>
      <c r="N15" s="25">
        <f>IF(tomato_sched[[#This Row],[q]]&lt;=1,"",IF(tomato_sched[[#This Row],[mc]]&lt;tomato_sched[[#This Row],[mc_1]],1,0))</f>
        <v>0</v>
      </c>
      <c r="O15" s="10">
        <f>MAX(tomato_sched[[#This Row],[q]]-1,0)</f>
        <v>8</v>
      </c>
      <c r="P15" s="23">
        <f>tomato_sched[[#This Row],[q_1]]*tomato_crop_hrswk*season_weeks*(1+tomato_crop_dim)^tomato_sched[[#This Row],[q_1]]</f>
        <v>1543.3839432000009</v>
      </c>
      <c r="Q15" s="23">
        <f>MIN(tomato_sched[[#This Row],[hrs_1]],farmer_hrs_field)</f>
        <v>720</v>
      </c>
      <c r="R15" s="23">
        <f>tomato_sched[[#This Row],[hrs_1]]-tomato_sched[[#This Row],[perm_hrs_1]]</f>
        <v>823.38394320000089</v>
      </c>
      <c r="S15" s="23">
        <f>tomato_sched[[#This Row],[perm_hrs_1]]*farmer_wage+tomato_sched[[#This Row],[temp_hrs_1]]*temp_wage</f>
        <v>39294.860125000014</v>
      </c>
      <c r="T15" s="23">
        <f>tomato_sched[[#This Row],[q_1]]*tomato_crop_fert</f>
        <v>7040</v>
      </c>
      <c r="U15" s="23">
        <f>tomato_sched[[#This Row],[labor_1]]+tomato_sched[[#This Row],[fert_1]]</f>
        <v>46334.860125000014</v>
      </c>
      <c r="V15" s="23">
        <f>MAX(tomato_sched[[#This Row],[q]]-2,0)</f>
        <v>7</v>
      </c>
      <c r="W15" s="23">
        <f>tomato_sched[[#This Row],[q_2]]*tomato_crop_hrswk*season_weeks*(1+tomato_crop_dim)^tomato_sched[[#This Row],[q_2]]</f>
        <v>1227.6917730000007</v>
      </c>
      <c r="X15" s="23">
        <f>MIN(tomato_sched[[#This Row],[hrs_2]],farmer_hrs_field)</f>
        <v>720</v>
      </c>
      <c r="Y15" s="23">
        <f>tomato_sched[[#This Row],[hrs_2]]-tomato_sched[[#This Row],[perm_hrs_2]]</f>
        <v>507.69177300000069</v>
      </c>
      <c r="Z15" s="23">
        <f>tomato_sched[[#This Row],[perm_hrs_2]]*farmer_wage+tomato_sched[[#This Row],[temp_hrs_2]]*temp_wage</f>
        <v>33814.09328125001</v>
      </c>
      <c r="AA15" s="23">
        <f>tomato_sched[[#This Row],[q_2]]*tomato_crop_fert</f>
        <v>6160</v>
      </c>
      <c r="AB15" s="23">
        <f>tomato_sched[[#This Row],[labor_2]]+tomato_sched[[#This Row],[fert_2]]</f>
        <v>39974.09328125001</v>
      </c>
      <c r="AC15" s="23">
        <f>IF(tomato_sched[[#This Row],[q]]&lt;=1,"",tomato_sched[[#This Row],[vc_1]]-tomato_sched[[#This Row],[vc_2]])</f>
        <v>6360.7668437500033</v>
      </c>
    </row>
    <row r="16" spans="1:29" x14ac:dyDescent="0.2">
      <c r="A16" s="7">
        <v>10</v>
      </c>
      <c r="B16" s="23">
        <f>tomato_sched[[#This Row],[q]]*tomato_crop_hrswk*season_weeks*(1+tomato_crop_dim)^tomato_sched[[#This Row],[q]]</f>
        <v>2334.3682140900019</v>
      </c>
      <c r="C16" s="23">
        <f>MIN(tomato_sched[[#This Row],[hrs]],farmer_hrs_field)</f>
        <v>720</v>
      </c>
      <c r="D16" s="23">
        <f>tomato_sched[[#This Row],[hrs]]-tomato_sched[[#This Row],[perm_hrs]]</f>
        <v>1614.3682140900019</v>
      </c>
      <c r="E16" s="24">
        <f>tomato_sched[[#This Row],[perm_hrs]]*farmer_wage+tomato_sched[[#This Row],[temp_hrs]]*temp_wage</f>
        <v>53027.225939062533</v>
      </c>
      <c r="F16" s="24">
        <f>tomato_sched[[#This Row],[q]]*tomato_crop_fert</f>
        <v>8800</v>
      </c>
      <c r="G16" s="24">
        <f>tomato_sched[[#This Row],[labor]]+tomato_sched[[#This Row],[fert]]</f>
        <v>61827.225939062533</v>
      </c>
      <c r="H16" s="24">
        <f>tomato_sched[[#This Row],[vc]]+fixed_costs</f>
        <v>81827.22593906254</v>
      </c>
      <c r="I16" s="24">
        <f>IF(tomato_sched[[#This Row],[q]]=0,"",tomato_sched[[#This Row],[vc]]-tomato_sched[[#This Row],[vc_1]])</f>
        <v>8248.586534375012</v>
      </c>
      <c r="J16" s="24">
        <f>IF(tomato_sched[[#This Row],[q]]=0,"",tomato_sched[[#This Row],[vc]]/tomato_sched[[#This Row],[q]])</f>
        <v>6182.7225939062537</v>
      </c>
      <c r="K16" s="24">
        <f>IF(tomato_sched[[#This Row],[q]]=0,"",tomato_sched[[#This Row],[tc]]/tomato_sched[[#This Row],[q]])</f>
        <v>8182.7225939062537</v>
      </c>
      <c r="L16" s="24">
        <f>tomato_crop_price</f>
        <v>8800</v>
      </c>
      <c r="M16" s="25">
        <f>IF(tomato_sched[[#This Row],[q]]=0,1,IF(tomato_sched[[#This Row],[mc]]&lt;=tomato_sched[[#This Row],[price]],1,0))</f>
        <v>1</v>
      </c>
      <c r="N16" s="25">
        <f>IF(tomato_sched[[#This Row],[q]]&lt;=1,"",IF(tomato_sched[[#This Row],[mc]]&lt;tomato_sched[[#This Row],[mc_1]],1,0))</f>
        <v>0</v>
      </c>
      <c r="O16" s="10">
        <f>MAX(tomato_sched[[#This Row],[q]]-1,0)</f>
        <v>9</v>
      </c>
      <c r="P16" s="23">
        <f>tomato_sched[[#This Row],[q_1]]*tomato_crop_hrswk*season_weeks*(1+tomato_crop_dim)^tomato_sched[[#This Row],[q_1]]</f>
        <v>1909.9376297100011</v>
      </c>
      <c r="Q16" s="23">
        <f>MIN(tomato_sched[[#This Row],[hrs_1]],farmer_hrs_field)</f>
        <v>720</v>
      </c>
      <c r="R16" s="23">
        <f>tomato_sched[[#This Row],[hrs_1]]-tomato_sched[[#This Row],[perm_hrs_1]]</f>
        <v>1189.9376297100011</v>
      </c>
      <c r="S16" s="23">
        <f>tomato_sched[[#This Row],[perm_hrs_1]]*farmer_wage+tomato_sched[[#This Row],[temp_hrs_1]]*temp_wage</f>
        <v>45658.639404687521</v>
      </c>
      <c r="T16" s="23">
        <f>tomato_sched[[#This Row],[q_1]]*tomato_crop_fert</f>
        <v>7920</v>
      </c>
      <c r="U16" s="23">
        <f>tomato_sched[[#This Row],[labor_1]]+tomato_sched[[#This Row],[fert_1]]</f>
        <v>53578.639404687521</v>
      </c>
      <c r="V16" s="23">
        <f>MAX(tomato_sched[[#This Row],[q]]-2,0)</f>
        <v>8</v>
      </c>
      <c r="W16" s="23">
        <f>tomato_sched[[#This Row],[q_2]]*tomato_crop_hrswk*season_weeks*(1+tomato_crop_dim)^tomato_sched[[#This Row],[q_2]]</f>
        <v>1543.3839432000009</v>
      </c>
      <c r="X16" s="23">
        <f>MIN(tomato_sched[[#This Row],[hrs_2]],farmer_hrs_field)</f>
        <v>720</v>
      </c>
      <c r="Y16" s="23">
        <f>tomato_sched[[#This Row],[hrs_2]]-tomato_sched[[#This Row],[perm_hrs_2]]</f>
        <v>823.38394320000089</v>
      </c>
      <c r="Z16" s="23">
        <f>tomato_sched[[#This Row],[perm_hrs_2]]*farmer_wage+tomato_sched[[#This Row],[temp_hrs_2]]*temp_wage</f>
        <v>39294.860125000014</v>
      </c>
      <c r="AA16" s="23">
        <f>tomato_sched[[#This Row],[q_2]]*tomato_crop_fert</f>
        <v>7040</v>
      </c>
      <c r="AB16" s="23">
        <f>tomato_sched[[#This Row],[labor_2]]+tomato_sched[[#This Row],[fert_2]]</f>
        <v>46334.860125000014</v>
      </c>
      <c r="AC16" s="23">
        <f>IF(tomato_sched[[#This Row],[q]]&lt;=1,"",tomato_sched[[#This Row],[vc_1]]-tomato_sched[[#This Row],[vc_2]])</f>
        <v>7243.7792796875074</v>
      </c>
    </row>
    <row r="17" spans="1:29" x14ac:dyDescent="0.2">
      <c r="A17" s="7">
        <v>11</v>
      </c>
      <c r="B17" s="23">
        <f>tomato_sched[[#This Row],[q]]*tomato_crop_hrswk*season_weeks*(1+tomato_crop_dim)^tomato_sched[[#This Row],[q]]</f>
        <v>2824.5855390489023</v>
      </c>
      <c r="C17" s="23">
        <f>MIN(tomato_sched[[#This Row],[hrs]],farmer_hrs_field)</f>
        <v>720</v>
      </c>
      <c r="D17" s="23">
        <f>tomato_sched[[#This Row],[hrs]]-tomato_sched[[#This Row],[perm_hrs]]</f>
        <v>2104.5855390489023</v>
      </c>
      <c r="E17" s="24">
        <f>tomato_sched[[#This Row],[perm_hrs]]*farmer_wage+tomato_sched[[#This Row],[temp_hrs]]*temp_wage</f>
        <v>61537.943386265666</v>
      </c>
      <c r="F17" s="24">
        <f>tomato_sched[[#This Row],[q]]*tomato_crop_fert</f>
        <v>9680</v>
      </c>
      <c r="G17" s="24">
        <f>tomato_sched[[#This Row],[labor]]+tomato_sched[[#This Row],[fert]]</f>
        <v>71217.943386265659</v>
      </c>
      <c r="H17" s="24">
        <f>tomato_sched[[#This Row],[vc]]+fixed_costs</f>
        <v>91217.943386265659</v>
      </c>
      <c r="I17" s="24">
        <f>IF(tomato_sched[[#This Row],[q]]=0,"",tomato_sched[[#This Row],[vc]]-tomato_sched[[#This Row],[vc_1]])</f>
        <v>9390.7174472031256</v>
      </c>
      <c r="J17" s="24">
        <f>IF(tomato_sched[[#This Row],[q]]=0,"",tomato_sched[[#This Row],[vc]]/tomato_sched[[#This Row],[q]])</f>
        <v>6474.3584896605144</v>
      </c>
      <c r="K17" s="24">
        <f>IF(tomato_sched[[#This Row],[q]]=0,"",tomato_sched[[#This Row],[tc]]/tomato_sched[[#This Row],[q]])</f>
        <v>8292.5403078423333</v>
      </c>
      <c r="L17" s="24">
        <f>tomato_crop_price</f>
        <v>8800</v>
      </c>
      <c r="M17" s="25">
        <f>IF(tomato_sched[[#This Row],[q]]=0,1,IF(tomato_sched[[#This Row],[mc]]&lt;=tomato_sched[[#This Row],[price]],1,0))</f>
        <v>0</v>
      </c>
      <c r="N17" s="25">
        <f>IF(tomato_sched[[#This Row],[q]]&lt;=1,"",IF(tomato_sched[[#This Row],[mc]]&lt;tomato_sched[[#This Row],[mc_1]],1,0))</f>
        <v>0</v>
      </c>
      <c r="O17" s="10">
        <f>MAX(tomato_sched[[#This Row],[q]]-1,0)</f>
        <v>10</v>
      </c>
      <c r="P17" s="23">
        <f>tomato_sched[[#This Row],[q_1]]*tomato_crop_hrswk*season_weeks*(1+tomato_crop_dim)^tomato_sched[[#This Row],[q_1]]</f>
        <v>2334.3682140900019</v>
      </c>
      <c r="Q17" s="23">
        <f>MIN(tomato_sched[[#This Row],[hrs_1]],farmer_hrs_field)</f>
        <v>720</v>
      </c>
      <c r="R17" s="23">
        <f>tomato_sched[[#This Row],[hrs_1]]-tomato_sched[[#This Row],[perm_hrs_1]]</f>
        <v>1614.3682140900019</v>
      </c>
      <c r="S17" s="23">
        <f>tomato_sched[[#This Row],[perm_hrs_1]]*farmer_wage+tomato_sched[[#This Row],[temp_hrs_1]]*temp_wage</f>
        <v>53027.225939062533</v>
      </c>
      <c r="T17" s="23">
        <f>tomato_sched[[#This Row],[q_1]]*tomato_crop_fert</f>
        <v>8800</v>
      </c>
      <c r="U17" s="23">
        <f>tomato_sched[[#This Row],[labor_1]]+tomato_sched[[#This Row],[fert_1]]</f>
        <v>61827.225939062533</v>
      </c>
      <c r="V17" s="23">
        <f>MAX(tomato_sched[[#This Row],[q]]-2,0)</f>
        <v>9</v>
      </c>
      <c r="W17" s="23">
        <f>tomato_sched[[#This Row],[q_2]]*tomato_crop_hrswk*season_weeks*(1+tomato_crop_dim)^tomato_sched[[#This Row],[q_2]]</f>
        <v>1909.9376297100011</v>
      </c>
      <c r="X17" s="23">
        <f>MIN(tomato_sched[[#This Row],[hrs_2]],farmer_hrs_field)</f>
        <v>720</v>
      </c>
      <c r="Y17" s="23">
        <f>tomato_sched[[#This Row],[hrs_2]]-tomato_sched[[#This Row],[perm_hrs_2]]</f>
        <v>1189.9376297100011</v>
      </c>
      <c r="Z17" s="23">
        <f>tomato_sched[[#This Row],[perm_hrs_2]]*farmer_wage+tomato_sched[[#This Row],[temp_hrs_2]]*temp_wage</f>
        <v>45658.639404687521</v>
      </c>
      <c r="AA17" s="23">
        <f>tomato_sched[[#This Row],[q_2]]*tomato_crop_fert</f>
        <v>7920</v>
      </c>
      <c r="AB17" s="23">
        <f>tomato_sched[[#This Row],[labor_2]]+tomato_sched[[#This Row],[fert_2]]</f>
        <v>53578.639404687521</v>
      </c>
      <c r="AC17" s="23">
        <f>IF(tomato_sched[[#This Row],[q]]&lt;=1,"",tomato_sched[[#This Row],[vc_1]]-tomato_sched[[#This Row],[vc_2]])</f>
        <v>8248.586534375012</v>
      </c>
    </row>
    <row r="18" spans="1:29" x14ac:dyDescent="0.2">
      <c r="A18" s="7">
        <v>12</v>
      </c>
      <c r="B18" s="23">
        <f>tomato_sched[[#This Row],[q]]*tomato_crop_hrswk*season_weeks*(1+tomato_crop_dim)^tomato_sched[[#This Row],[q]]</f>
        <v>3389.502646858683</v>
      </c>
      <c r="C18" s="23">
        <f>MIN(tomato_sched[[#This Row],[hrs]],farmer_hrs_field)</f>
        <v>720</v>
      </c>
      <c r="D18" s="23">
        <f>tomato_sched[[#This Row],[hrs]]-tomato_sched[[#This Row],[perm_hrs]]</f>
        <v>2669.502646858683</v>
      </c>
      <c r="E18" s="24">
        <f>tomato_sched[[#This Row],[perm_hrs]]*farmer_wage+tomato_sched[[#This Row],[temp_hrs]]*temp_wage</f>
        <v>71345.532063518796</v>
      </c>
      <c r="F18" s="24">
        <f>tomato_sched[[#This Row],[q]]*tomato_crop_fert</f>
        <v>10560</v>
      </c>
      <c r="G18" s="24">
        <f>tomato_sched[[#This Row],[labor]]+tomato_sched[[#This Row],[fert]]</f>
        <v>81905.532063518796</v>
      </c>
      <c r="H18" s="24">
        <f>tomato_sched[[#This Row],[vc]]+fixed_costs</f>
        <v>101905.5320635188</v>
      </c>
      <c r="I18" s="24">
        <f>IF(tomato_sched[[#This Row],[q]]=0,"",tomato_sched[[#This Row],[vc]]-tomato_sched[[#This Row],[vc_1]])</f>
        <v>10687.588677253138</v>
      </c>
      <c r="J18" s="24">
        <f>IF(tomato_sched[[#This Row],[q]]=0,"",tomato_sched[[#This Row],[vc]]/tomato_sched[[#This Row],[q]])</f>
        <v>6825.461005293233</v>
      </c>
      <c r="K18" s="24">
        <f>IF(tomato_sched[[#This Row],[q]]=0,"",tomato_sched[[#This Row],[tc]]/tomato_sched[[#This Row],[q]])</f>
        <v>8492.1276719598991</v>
      </c>
      <c r="L18" s="24">
        <f>tomato_crop_price</f>
        <v>8800</v>
      </c>
      <c r="M18" s="25">
        <f>IF(tomato_sched[[#This Row],[q]]=0,1,IF(tomato_sched[[#This Row],[mc]]&lt;=tomato_sched[[#This Row],[price]],1,0))</f>
        <v>0</v>
      </c>
      <c r="N18" s="25">
        <f>IF(tomato_sched[[#This Row],[q]]&lt;=1,"",IF(tomato_sched[[#This Row],[mc]]&lt;tomato_sched[[#This Row],[mc_1]],1,0))</f>
        <v>0</v>
      </c>
      <c r="O18" s="10">
        <f>MAX(tomato_sched[[#This Row],[q]]-1,0)</f>
        <v>11</v>
      </c>
      <c r="P18" s="23">
        <f>tomato_sched[[#This Row],[q_1]]*tomato_crop_hrswk*season_weeks*(1+tomato_crop_dim)^tomato_sched[[#This Row],[q_1]]</f>
        <v>2824.5855390489023</v>
      </c>
      <c r="Q18" s="23">
        <f>MIN(tomato_sched[[#This Row],[hrs_1]],farmer_hrs_field)</f>
        <v>720</v>
      </c>
      <c r="R18" s="23">
        <f>tomato_sched[[#This Row],[hrs_1]]-tomato_sched[[#This Row],[perm_hrs_1]]</f>
        <v>2104.5855390489023</v>
      </c>
      <c r="S18" s="23">
        <f>tomato_sched[[#This Row],[perm_hrs_1]]*farmer_wage+tomato_sched[[#This Row],[temp_hrs_1]]*temp_wage</f>
        <v>61537.943386265666</v>
      </c>
      <c r="T18" s="23">
        <f>tomato_sched[[#This Row],[q_1]]*tomato_crop_fert</f>
        <v>9680</v>
      </c>
      <c r="U18" s="23">
        <f>tomato_sched[[#This Row],[labor_1]]+tomato_sched[[#This Row],[fert_1]]</f>
        <v>71217.943386265659</v>
      </c>
      <c r="V18" s="23">
        <f>MAX(tomato_sched[[#This Row],[q]]-2,0)</f>
        <v>10</v>
      </c>
      <c r="W18" s="23">
        <f>tomato_sched[[#This Row],[q_2]]*tomato_crop_hrswk*season_weeks*(1+tomato_crop_dim)^tomato_sched[[#This Row],[q_2]]</f>
        <v>2334.3682140900019</v>
      </c>
      <c r="X18" s="23">
        <f>MIN(tomato_sched[[#This Row],[hrs_2]],farmer_hrs_field)</f>
        <v>720</v>
      </c>
      <c r="Y18" s="23">
        <f>tomato_sched[[#This Row],[hrs_2]]-tomato_sched[[#This Row],[perm_hrs_2]]</f>
        <v>1614.3682140900019</v>
      </c>
      <c r="Z18" s="23">
        <f>tomato_sched[[#This Row],[perm_hrs_2]]*farmer_wage+tomato_sched[[#This Row],[temp_hrs_2]]*temp_wage</f>
        <v>53027.225939062533</v>
      </c>
      <c r="AA18" s="23">
        <f>tomato_sched[[#This Row],[q_2]]*tomato_crop_fert</f>
        <v>8800</v>
      </c>
      <c r="AB18" s="23">
        <f>tomato_sched[[#This Row],[labor_2]]+tomato_sched[[#This Row],[fert_2]]</f>
        <v>61827.225939062533</v>
      </c>
      <c r="AC18" s="23">
        <f>IF(tomato_sched[[#This Row],[q]]&lt;=1,"",tomato_sched[[#This Row],[vc_1]]-tomato_sched[[#This Row],[vc_2]])</f>
        <v>9390.7174472031256</v>
      </c>
    </row>
    <row r="19" spans="1:29" x14ac:dyDescent="0.2">
      <c r="A19" s="7">
        <v>13</v>
      </c>
      <c r="B19" s="23">
        <f>tomato_sched[[#This Row],[q]]*tomato_crop_hrswk*season_weeks*(1+tomato_crop_dim)^tomato_sched[[#This Row],[q]]</f>
        <v>4039.1573208399304</v>
      </c>
      <c r="C19" s="23">
        <f>MIN(tomato_sched[[#This Row],[hrs]],farmer_hrs_field)</f>
        <v>720</v>
      </c>
      <c r="D19" s="23">
        <f>tomato_sched[[#This Row],[hrs]]-tomato_sched[[#This Row],[perm_hrs]]</f>
        <v>3319.1573208399304</v>
      </c>
      <c r="E19" s="24">
        <f>tomato_sched[[#This Row],[perm_hrs]]*farmer_wage+tomato_sched[[#This Row],[temp_hrs]]*temp_wage</f>
        <v>82624.259042359903</v>
      </c>
      <c r="F19" s="24">
        <f>tomato_sched[[#This Row],[q]]*tomato_crop_fert</f>
        <v>11440</v>
      </c>
      <c r="G19" s="24">
        <f>tomato_sched[[#This Row],[labor]]+tomato_sched[[#This Row],[fert]]</f>
        <v>94064.259042359903</v>
      </c>
      <c r="H19" s="24">
        <f>tomato_sched[[#This Row],[vc]]+fixed_costs</f>
        <v>114064.2590423599</v>
      </c>
      <c r="I19" s="24">
        <f>IF(tomato_sched[[#This Row],[q]]=0,"",tomato_sched[[#This Row],[vc]]-tomato_sched[[#This Row],[vc_1]])</f>
        <v>12158.726978841107</v>
      </c>
      <c r="J19" s="24">
        <f>IF(tomato_sched[[#This Row],[q]]=0,"",tomato_sched[[#This Row],[vc]]/tomato_sched[[#This Row],[q]])</f>
        <v>7235.7122340276846</v>
      </c>
      <c r="K19" s="24">
        <f>IF(tomato_sched[[#This Row],[q]]=0,"",tomato_sched[[#This Row],[tc]]/tomato_sched[[#This Row],[q]])</f>
        <v>8774.1737724892228</v>
      </c>
      <c r="L19" s="24">
        <f>tomato_crop_price</f>
        <v>8800</v>
      </c>
      <c r="M19" s="25">
        <f>IF(tomato_sched[[#This Row],[q]]=0,1,IF(tomato_sched[[#This Row],[mc]]&lt;=tomato_sched[[#This Row],[price]],1,0))</f>
        <v>0</v>
      </c>
      <c r="N19" s="25">
        <f>IF(tomato_sched[[#This Row],[q]]&lt;=1,"",IF(tomato_sched[[#This Row],[mc]]&lt;tomato_sched[[#This Row],[mc_1]],1,0))</f>
        <v>0</v>
      </c>
      <c r="O19" s="10">
        <f>MAX(tomato_sched[[#This Row],[q]]-1,0)</f>
        <v>12</v>
      </c>
      <c r="P19" s="23">
        <f>tomato_sched[[#This Row],[q_1]]*tomato_crop_hrswk*season_weeks*(1+tomato_crop_dim)^tomato_sched[[#This Row],[q_1]]</f>
        <v>3389.502646858683</v>
      </c>
      <c r="Q19" s="23">
        <f>MIN(tomato_sched[[#This Row],[hrs_1]],farmer_hrs_field)</f>
        <v>720</v>
      </c>
      <c r="R19" s="23">
        <f>tomato_sched[[#This Row],[hrs_1]]-tomato_sched[[#This Row],[perm_hrs_1]]</f>
        <v>2669.502646858683</v>
      </c>
      <c r="S19" s="23">
        <f>tomato_sched[[#This Row],[perm_hrs_1]]*farmer_wage+tomato_sched[[#This Row],[temp_hrs_1]]*temp_wage</f>
        <v>71345.532063518796</v>
      </c>
      <c r="T19" s="23">
        <f>tomato_sched[[#This Row],[q_1]]*tomato_crop_fert</f>
        <v>10560</v>
      </c>
      <c r="U19" s="23">
        <f>tomato_sched[[#This Row],[labor_1]]+tomato_sched[[#This Row],[fert_1]]</f>
        <v>81905.532063518796</v>
      </c>
      <c r="V19" s="23">
        <f>MAX(tomato_sched[[#This Row],[q]]-2,0)</f>
        <v>11</v>
      </c>
      <c r="W19" s="23">
        <f>tomato_sched[[#This Row],[q_2]]*tomato_crop_hrswk*season_weeks*(1+tomato_crop_dim)^tomato_sched[[#This Row],[q_2]]</f>
        <v>2824.5855390489023</v>
      </c>
      <c r="X19" s="23">
        <f>MIN(tomato_sched[[#This Row],[hrs_2]],farmer_hrs_field)</f>
        <v>720</v>
      </c>
      <c r="Y19" s="23">
        <f>tomato_sched[[#This Row],[hrs_2]]-tomato_sched[[#This Row],[perm_hrs_2]]</f>
        <v>2104.5855390489023</v>
      </c>
      <c r="Z19" s="23">
        <f>tomato_sched[[#This Row],[perm_hrs_2]]*farmer_wage+tomato_sched[[#This Row],[temp_hrs_2]]*temp_wage</f>
        <v>61537.943386265666</v>
      </c>
      <c r="AA19" s="23">
        <f>tomato_sched[[#This Row],[q_2]]*tomato_crop_fert</f>
        <v>9680</v>
      </c>
      <c r="AB19" s="23">
        <f>tomato_sched[[#This Row],[labor_2]]+tomato_sched[[#This Row],[fert_2]]</f>
        <v>71217.943386265659</v>
      </c>
      <c r="AC19" s="23">
        <f>IF(tomato_sched[[#This Row],[q]]&lt;=1,"",tomato_sched[[#This Row],[vc_1]]-tomato_sched[[#This Row],[vc_2]])</f>
        <v>10687.588677253138</v>
      </c>
    </row>
    <row r="20" spans="1:29" x14ac:dyDescent="0.2">
      <c r="A20" s="7">
        <v>14</v>
      </c>
      <c r="B20" s="23">
        <f>tomato_sched[[#This Row],[q]]*tomato_crop_hrswk*season_weeks*(1+tomato_crop_dim)^tomato_sched[[#This Row],[q]]</f>
        <v>4784.8479031488414</v>
      </c>
      <c r="C20" s="23">
        <f>MIN(tomato_sched[[#This Row],[hrs]],farmer_hrs_field)</f>
        <v>720</v>
      </c>
      <c r="D20" s="23">
        <f>tomato_sched[[#This Row],[hrs]]-tomato_sched[[#This Row],[perm_hrs]]</f>
        <v>4064.8479031488414</v>
      </c>
      <c r="E20" s="24">
        <f>tomato_sched[[#This Row],[perm_hrs]]*farmer_wage+tomato_sched[[#This Row],[temp_hrs]]*temp_wage</f>
        <v>95570.276096334055</v>
      </c>
      <c r="F20" s="24">
        <f>tomato_sched[[#This Row],[q]]*tomato_crop_fert</f>
        <v>12320</v>
      </c>
      <c r="G20" s="24">
        <f>tomato_sched[[#This Row],[labor]]+tomato_sched[[#This Row],[fert]]</f>
        <v>107890.27609633406</v>
      </c>
      <c r="H20" s="24">
        <f>tomato_sched[[#This Row],[vc]]+fixed_costs</f>
        <v>127890.27609633406</v>
      </c>
      <c r="I20" s="24">
        <f>IF(tomato_sched[[#This Row],[q]]=0,"",tomato_sched[[#This Row],[vc]]-tomato_sched[[#This Row],[vc_1]])</f>
        <v>13826.017053974152</v>
      </c>
      <c r="J20" s="24">
        <f>IF(tomato_sched[[#This Row],[q]]=0,"",tomato_sched[[#This Row],[vc]]/tomato_sched[[#This Row],[q]])</f>
        <v>7706.4482925952898</v>
      </c>
      <c r="K20" s="24">
        <f>IF(tomato_sched[[#This Row],[q]]=0,"",tomato_sched[[#This Row],[tc]]/tomato_sched[[#This Row],[q]])</f>
        <v>9135.0197211667182</v>
      </c>
      <c r="L20" s="24">
        <f>tomato_crop_price</f>
        <v>8800</v>
      </c>
      <c r="M20" s="25">
        <f>IF(tomato_sched[[#This Row],[q]]=0,1,IF(tomato_sched[[#This Row],[mc]]&lt;=tomato_sched[[#This Row],[price]],1,0))</f>
        <v>0</v>
      </c>
      <c r="N20" s="25">
        <f>IF(tomato_sched[[#This Row],[q]]&lt;=1,"",IF(tomato_sched[[#This Row],[mc]]&lt;tomato_sched[[#This Row],[mc_1]],1,0))</f>
        <v>0</v>
      </c>
      <c r="O20" s="10">
        <f>MAX(tomato_sched[[#This Row],[q]]-1,0)</f>
        <v>13</v>
      </c>
      <c r="P20" s="23">
        <f>tomato_sched[[#This Row],[q_1]]*tomato_crop_hrswk*season_weeks*(1+tomato_crop_dim)^tomato_sched[[#This Row],[q_1]]</f>
        <v>4039.1573208399304</v>
      </c>
      <c r="Q20" s="23">
        <f>MIN(tomato_sched[[#This Row],[hrs_1]],farmer_hrs_field)</f>
        <v>720</v>
      </c>
      <c r="R20" s="23">
        <f>tomato_sched[[#This Row],[hrs_1]]-tomato_sched[[#This Row],[perm_hrs_1]]</f>
        <v>3319.1573208399304</v>
      </c>
      <c r="S20" s="23">
        <f>tomato_sched[[#This Row],[perm_hrs_1]]*farmer_wage+tomato_sched[[#This Row],[temp_hrs_1]]*temp_wage</f>
        <v>82624.259042359903</v>
      </c>
      <c r="T20" s="23">
        <f>tomato_sched[[#This Row],[q_1]]*tomato_crop_fert</f>
        <v>11440</v>
      </c>
      <c r="U20" s="23">
        <f>tomato_sched[[#This Row],[labor_1]]+tomato_sched[[#This Row],[fert_1]]</f>
        <v>94064.259042359903</v>
      </c>
      <c r="V20" s="23">
        <f>MAX(tomato_sched[[#This Row],[q]]-2,0)</f>
        <v>12</v>
      </c>
      <c r="W20" s="23">
        <f>tomato_sched[[#This Row],[q_2]]*tomato_crop_hrswk*season_weeks*(1+tomato_crop_dim)^tomato_sched[[#This Row],[q_2]]</f>
        <v>3389.502646858683</v>
      </c>
      <c r="X20" s="23">
        <f>MIN(tomato_sched[[#This Row],[hrs_2]],farmer_hrs_field)</f>
        <v>720</v>
      </c>
      <c r="Y20" s="23">
        <f>tomato_sched[[#This Row],[hrs_2]]-tomato_sched[[#This Row],[perm_hrs_2]]</f>
        <v>2669.502646858683</v>
      </c>
      <c r="Z20" s="23">
        <f>tomato_sched[[#This Row],[perm_hrs_2]]*farmer_wage+tomato_sched[[#This Row],[temp_hrs_2]]*temp_wage</f>
        <v>71345.532063518796</v>
      </c>
      <c r="AA20" s="23">
        <f>tomato_sched[[#This Row],[q_2]]*tomato_crop_fert</f>
        <v>10560</v>
      </c>
      <c r="AB20" s="23">
        <f>tomato_sched[[#This Row],[labor_2]]+tomato_sched[[#This Row],[fert_2]]</f>
        <v>81905.532063518796</v>
      </c>
      <c r="AC20" s="23">
        <f>IF(tomato_sched[[#This Row],[q]]&lt;=1,"",tomato_sched[[#This Row],[vc_1]]-tomato_sched[[#This Row],[vc_2]])</f>
        <v>12158.726978841107</v>
      </c>
    </row>
    <row r="21" spans="1:29" x14ac:dyDescent="0.2">
      <c r="A21" s="7">
        <v>15</v>
      </c>
      <c r="B21" s="23">
        <f>tomato_sched[[#This Row],[q]]*tomato_crop_hrswk*season_weeks*(1+tomato_crop_dim)^tomato_sched[[#This Row],[q]]</f>
        <v>5639.2850287111351</v>
      </c>
      <c r="C21" s="23">
        <f>MIN(tomato_sched[[#This Row],[hrs]],farmer_hrs_field)</f>
        <v>720</v>
      </c>
      <c r="D21" s="23">
        <f>tomato_sched[[#This Row],[hrs]]-tomato_sched[[#This Row],[perm_hrs]]</f>
        <v>4919.2850287111351</v>
      </c>
      <c r="E21" s="24">
        <f>tomato_sched[[#This Row],[perm_hrs]]*farmer_wage+tomato_sched[[#This Row],[temp_hrs]]*temp_wage</f>
        <v>110404.25397067942</v>
      </c>
      <c r="F21" s="24">
        <f>tomato_sched[[#This Row],[q]]*tomato_crop_fert</f>
        <v>13200</v>
      </c>
      <c r="G21" s="24">
        <f>tomato_sched[[#This Row],[labor]]+tomato_sched[[#This Row],[fert]]</f>
        <v>123604.25397067942</v>
      </c>
      <c r="H21" s="24">
        <f>tomato_sched[[#This Row],[vc]]+fixed_costs</f>
        <v>143604.25397067942</v>
      </c>
      <c r="I21" s="24">
        <f>IF(tomato_sched[[#This Row],[q]]=0,"",tomato_sched[[#This Row],[vc]]-tomato_sched[[#This Row],[vc_1]])</f>
        <v>15713.977874345364</v>
      </c>
      <c r="J21" s="24">
        <f>IF(tomato_sched[[#This Row],[q]]=0,"",tomato_sched[[#This Row],[vc]]/tomato_sched[[#This Row],[q]])</f>
        <v>8240.2835980452946</v>
      </c>
      <c r="K21" s="24">
        <f>IF(tomato_sched[[#This Row],[q]]=0,"",tomato_sched[[#This Row],[tc]]/tomato_sched[[#This Row],[q]])</f>
        <v>9573.6169313786286</v>
      </c>
      <c r="L21" s="24">
        <f>tomato_crop_price</f>
        <v>8800</v>
      </c>
      <c r="M21" s="25">
        <f>IF(tomato_sched[[#This Row],[q]]=0,1,IF(tomato_sched[[#This Row],[mc]]&lt;=tomato_sched[[#This Row],[price]],1,0))</f>
        <v>0</v>
      </c>
      <c r="N21" s="25">
        <f>IF(tomato_sched[[#This Row],[q]]&lt;=1,"",IF(tomato_sched[[#This Row],[mc]]&lt;tomato_sched[[#This Row],[mc_1]],1,0))</f>
        <v>0</v>
      </c>
      <c r="O21" s="10">
        <f>MAX(tomato_sched[[#This Row],[q]]-1,0)</f>
        <v>14</v>
      </c>
      <c r="P21" s="23">
        <f>tomato_sched[[#This Row],[q_1]]*tomato_crop_hrswk*season_weeks*(1+tomato_crop_dim)^tomato_sched[[#This Row],[q_1]]</f>
        <v>4784.8479031488414</v>
      </c>
      <c r="Q21" s="23">
        <f>MIN(tomato_sched[[#This Row],[hrs_1]],farmer_hrs_field)</f>
        <v>720</v>
      </c>
      <c r="R21" s="23">
        <f>tomato_sched[[#This Row],[hrs_1]]-tomato_sched[[#This Row],[perm_hrs_1]]</f>
        <v>4064.8479031488414</v>
      </c>
      <c r="S21" s="23">
        <f>tomato_sched[[#This Row],[perm_hrs_1]]*farmer_wage+tomato_sched[[#This Row],[temp_hrs_1]]*temp_wage</f>
        <v>95570.276096334055</v>
      </c>
      <c r="T21" s="23">
        <f>tomato_sched[[#This Row],[q_1]]*tomato_crop_fert</f>
        <v>12320</v>
      </c>
      <c r="U21" s="23">
        <f>tomato_sched[[#This Row],[labor_1]]+tomato_sched[[#This Row],[fert_1]]</f>
        <v>107890.27609633406</v>
      </c>
      <c r="V21" s="23">
        <f>MAX(tomato_sched[[#This Row],[q]]-2,0)</f>
        <v>13</v>
      </c>
      <c r="W21" s="23">
        <f>tomato_sched[[#This Row],[q_2]]*tomato_crop_hrswk*season_weeks*(1+tomato_crop_dim)^tomato_sched[[#This Row],[q_2]]</f>
        <v>4039.1573208399304</v>
      </c>
      <c r="X21" s="23">
        <f>MIN(tomato_sched[[#This Row],[hrs_2]],farmer_hrs_field)</f>
        <v>720</v>
      </c>
      <c r="Y21" s="23">
        <f>tomato_sched[[#This Row],[hrs_2]]-tomato_sched[[#This Row],[perm_hrs_2]]</f>
        <v>3319.1573208399304</v>
      </c>
      <c r="Z21" s="23">
        <f>tomato_sched[[#This Row],[perm_hrs_2]]*farmer_wage+tomato_sched[[#This Row],[temp_hrs_2]]*temp_wage</f>
        <v>82624.259042359903</v>
      </c>
      <c r="AA21" s="23">
        <f>tomato_sched[[#This Row],[q_2]]*tomato_crop_fert</f>
        <v>11440</v>
      </c>
      <c r="AB21" s="23">
        <f>tomato_sched[[#This Row],[labor_2]]+tomato_sched[[#This Row],[fert_2]]</f>
        <v>94064.259042359903</v>
      </c>
      <c r="AC21" s="23">
        <f>IF(tomato_sched[[#This Row],[q]]&lt;=1,"",tomato_sched[[#This Row],[vc_1]]-tomato_sched[[#This Row],[vc_2]])</f>
        <v>13826.017053974152</v>
      </c>
    </row>
    <row r="22" spans="1:29" x14ac:dyDescent="0.2">
      <c r="A22" s="7">
        <v>16</v>
      </c>
      <c r="B22" s="23">
        <f>tomato_sched[[#This Row],[q]]*tomato_crop_hrswk*season_weeks*(1+tomato_crop_dim)^tomato_sched[[#This Row],[q]]</f>
        <v>6616.761100354398</v>
      </c>
      <c r="C22" s="23">
        <f>MIN(tomato_sched[[#This Row],[hrs]],farmer_hrs_field)</f>
        <v>720</v>
      </c>
      <c r="D22" s="23">
        <f>tomato_sched[[#This Row],[hrs]]-tomato_sched[[#This Row],[perm_hrs]]</f>
        <v>5896.761100354398</v>
      </c>
      <c r="E22" s="24">
        <f>tomato_sched[[#This Row],[perm_hrs]]*farmer_wage+tomato_sched[[#This Row],[temp_hrs]]*temp_wage</f>
        <v>127374.32465893052</v>
      </c>
      <c r="F22" s="24">
        <f>tomato_sched[[#This Row],[q]]*tomato_crop_fert</f>
        <v>14080</v>
      </c>
      <c r="G22" s="24">
        <f>tomato_sched[[#This Row],[labor]]+tomato_sched[[#This Row],[fert]]</f>
        <v>141454.32465893053</v>
      </c>
      <c r="H22" s="24">
        <f>tomato_sched[[#This Row],[vc]]+fixed_costs</f>
        <v>161454.32465893053</v>
      </c>
      <c r="I22" s="24">
        <f>IF(tomato_sched[[#This Row],[q]]=0,"",tomato_sched[[#This Row],[vc]]-tomato_sched[[#This Row],[vc_1]])</f>
        <v>17850.070688251115</v>
      </c>
      <c r="J22" s="24">
        <f>IF(tomato_sched[[#This Row],[q]]=0,"",tomato_sched[[#This Row],[vc]]/tomato_sched[[#This Row],[q]])</f>
        <v>8840.8952911831584</v>
      </c>
      <c r="K22" s="24">
        <f>IF(tomato_sched[[#This Row],[q]]=0,"",tomato_sched[[#This Row],[tc]]/tomato_sched[[#This Row],[q]])</f>
        <v>10090.895291183158</v>
      </c>
      <c r="L22" s="24">
        <f>tomato_crop_price</f>
        <v>8800</v>
      </c>
      <c r="M22" s="25">
        <f>IF(tomato_sched[[#This Row],[q]]=0,1,IF(tomato_sched[[#This Row],[mc]]&lt;=tomato_sched[[#This Row],[price]],1,0))</f>
        <v>0</v>
      </c>
      <c r="N22" s="25">
        <f>IF(tomato_sched[[#This Row],[q]]&lt;=1,"",IF(tomato_sched[[#This Row],[mc]]&lt;tomato_sched[[#This Row],[mc_1]],1,0))</f>
        <v>0</v>
      </c>
      <c r="O22" s="10">
        <f>MAX(tomato_sched[[#This Row],[q]]-1,0)</f>
        <v>15</v>
      </c>
      <c r="P22" s="23">
        <f>tomato_sched[[#This Row],[q_1]]*tomato_crop_hrswk*season_weeks*(1+tomato_crop_dim)^tomato_sched[[#This Row],[q_1]]</f>
        <v>5639.2850287111351</v>
      </c>
      <c r="Q22" s="23">
        <f>MIN(tomato_sched[[#This Row],[hrs_1]],farmer_hrs_field)</f>
        <v>720</v>
      </c>
      <c r="R22" s="23">
        <f>tomato_sched[[#This Row],[hrs_1]]-tomato_sched[[#This Row],[perm_hrs_1]]</f>
        <v>4919.2850287111351</v>
      </c>
      <c r="S22" s="23">
        <f>tomato_sched[[#This Row],[perm_hrs_1]]*farmer_wage+tomato_sched[[#This Row],[temp_hrs_1]]*temp_wage</f>
        <v>110404.25397067942</v>
      </c>
      <c r="T22" s="23">
        <f>tomato_sched[[#This Row],[q_1]]*tomato_crop_fert</f>
        <v>13200</v>
      </c>
      <c r="U22" s="23">
        <f>tomato_sched[[#This Row],[labor_1]]+tomato_sched[[#This Row],[fert_1]]</f>
        <v>123604.25397067942</v>
      </c>
      <c r="V22" s="23">
        <f>MAX(tomato_sched[[#This Row],[q]]-2,0)</f>
        <v>14</v>
      </c>
      <c r="W22" s="23">
        <f>tomato_sched[[#This Row],[q_2]]*tomato_crop_hrswk*season_weeks*(1+tomato_crop_dim)^tomato_sched[[#This Row],[q_2]]</f>
        <v>4784.8479031488414</v>
      </c>
      <c r="X22" s="23">
        <f>MIN(tomato_sched[[#This Row],[hrs_2]],farmer_hrs_field)</f>
        <v>720</v>
      </c>
      <c r="Y22" s="23">
        <f>tomato_sched[[#This Row],[hrs_2]]-tomato_sched[[#This Row],[perm_hrs_2]]</f>
        <v>4064.8479031488414</v>
      </c>
      <c r="Z22" s="23">
        <f>tomato_sched[[#This Row],[perm_hrs_2]]*farmer_wage+tomato_sched[[#This Row],[temp_hrs_2]]*temp_wage</f>
        <v>95570.276096334055</v>
      </c>
      <c r="AA22" s="23">
        <f>tomato_sched[[#This Row],[q_2]]*tomato_crop_fert</f>
        <v>12320</v>
      </c>
      <c r="AB22" s="23">
        <f>tomato_sched[[#This Row],[labor_2]]+tomato_sched[[#This Row],[fert_2]]</f>
        <v>107890.27609633406</v>
      </c>
      <c r="AC22" s="23">
        <f>IF(tomato_sched[[#This Row],[q]]&lt;=1,"",tomato_sched[[#This Row],[vc_1]]-tomato_sched[[#This Row],[vc_2]])</f>
        <v>15713.977874345364</v>
      </c>
    </row>
    <row r="23" spans="1:29" x14ac:dyDescent="0.2">
      <c r="A23" s="7">
        <v>17</v>
      </c>
      <c r="B23" s="23">
        <f>tomato_sched[[#This Row],[q]]*tomato_crop_hrswk*season_weeks*(1+tomato_crop_dim)^tomato_sched[[#This Row],[q]]</f>
        <v>7733.3395360392033</v>
      </c>
      <c r="C23" s="23">
        <f>MIN(tomato_sched[[#This Row],[hrs]],farmer_hrs_field)</f>
        <v>720</v>
      </c>
      <c r="D23" s="23">
        <f>tomato_sched[[#This Row],[hrs]]-tomato_sched[[#This Row],[perm_hrs]]</f>
        <v>7013.3395360392033</v>
      </c>
      <c r="E23" s="24">
        <f>tomato_sched[[#This Row],[perm_hrs]]*farmer_wage+tomato_sched[[#This Row],[temp_hrs]]*temp_wage</f>
        <v>146759.36694512505</v>
      </c>
      <c r="F23" s="24">
        <f>tomato_sched[[#This Row],[q]]*tomato_crop_fert</f>
        <v>14960</v>
      </c>
      <c r="G23" s="24">
        <f>tomato_sched[[#This Row],[labor]]+tomato_sched[[#This Row],[fert]]</f>
        <v>161719.36694512505</v>
      </c>
      <c r="H23" s="24">
        <f>tomato_sched[[#This Row],[vc]]+fixed_costs</f>
        <v>181719.36694512505</v>
      </c>
      <c r="I23" s="24">
        <f>IF(tomato_sched[[#This Row],[q]]=0,"",tomato_sched[[#This Row],[vc]]-tomato_sched[[#This Row],[vc_1]])</f>
        <v>20265.042286194512</v>
      </c>
      <c r="J23" s="24">
        <f>IF(tomato_sched[[#This Row],[q]]=0,"",tomato_sched[[#This Row],[vc]]/tomato_sched[[#This Row],[q]])</f>
        <v>9512.903937948533</v>
      </c>
      <c r="K23" s="24">
        <f>IF(tomato_sched[[#This Row],[q]]=0,"",tomato_sched[[#This Row],[tc]]/tomato_sched[[#This Row],[q]])</f>
        <v>10689.374526183827</v>
      </c>
      <c r="L23" s="24">
        <f>tomato_crop_price</f>
        <v>8800</v>
      </c>
      <c r="M23" s="25">
        <f>IF(tomato_sched[[#This Row],[q]]=0,1,IF(tomato_sched[[#This Row],[mc]]&lt;=tomato_sched[[#This Row],[price]],1,0))</f>
        <v>0</v>
      </c>
      <c r="N23" s="25">
        <f>IF(tomato_sched[[#This Row],[q]]&lt;=1,"",IF(tomato_sched[[#This Row],[mc]]&lt;tomato_sched[[#This Row],[mc_1]],1,0))</f>
        <v>0</v>
      </c>
      <c r="O23" s="10">
        <f>MAX(tomato_sched[[#This Row],[q]]-1,0)</f>
        <v>16</v>
      </c>
      <c r="P23" s="23">
        <f>tomato_sched[[#This Row],[q_1]]*tomato_crop_hrswk*season_weeks*(1+tomato_crop_dim)^tomato_sched[[#This Row],[q_1]]</f>
        <v>6616.761100354398</v>
      </c>
      <c r="Q23" s="23">
        <f>MIN(tomato_sched[[#This Row],[hrs_1]],farmer_hrs_field)</f>
        <v>720</v>
      </c>
      <c r="R23" s="23">
        <f>tomato_sched[[#This Row],[hrs_1]]-tomato_sched[[#This Row],[perm_hrs_1]]</f>
        <v>5896.761100354398</v>
      </c>
      <c r="S23" s="23">
        <f>tomato_sched[[#This Row],[perm_hrs_1]]*farmer_wage+tomato_sched[[#This Row],[temp_hrs_1]]*temp_wage</f>
        <v>127374.32465893052</v>
      </c>
      <c r="T23" s="23">
        <f>tomato_sched[[#This Row],[q_1]]*tomato_crop_fert</f>
        <v>14080</v>
      </c>
      <c r="U23" s="23">
        <f>tomato_sched[[#This Row],[labor_1]]+tomato_sched[[#This Row],[fert_1]]</f>
        <v>141454.32465893053</v>
      </c>
      <c r="V23" s="23">
        <f>MAX(tomato_sched[[#This Row],[q]]-2,0)</f>
        <v>15</v>
      </c>
      <c r="W23" s="23">
        <f>tomato_sched[[#This Row],[q_2]]*tomato_crop_hrswk*season_weeks*(1+tomato_crop_dim)^tomato_sched[[#This Row],[q_2]]</f>
        <v>5639.2850287111351</v>
      </c>
      <c r="X23" s="23">
        <f>MIN(tomato_sched[[#This Row],[hrs_2]],farmer_hrs_field)</f>
        <v>720</v>
      </c>
      <c r="Y23" s="23">
        <f>tomato_sched[[#This Row],[hrs_2]]-tomato_sched[[#This Row],[perm_hrs_2]]</f>
        <v>4919.2850287111351</v>
      </c>
      <c r="Z23" s="23">
        <f>tomato_sched[[#This Row],[perm_hrs_2]]*farmer_wage+tomato_sched[[#This Row],[temp_hrs_2]]*temp_wage</f>
        <v>110404.25397067942</v>
      </c>
      <c r="AA23" s="23">
        <f>tomato_sched[[#This Row],[q_2]]*tomato_crop_fert</f>
        <v>13200</v>
      </c>
      <c r="AB23" s="23">
        <f>tomato_sched[[#This Row],[labor_2]]+tomato_sched[[#This Row],[fert_2]]</f>
        <v>123604.25397067942</v>
      </c>
      <c r="AC23" s="23">
        <f>IF(tomato_sched[[#This Row],[q]]&lt;=1,"",tomato_sched[[#This Row],[vc_1]]-tomato_sched[[#This Row],[vc_2]])</f>
        <v>17850.070688251115</v>
      </c>
    </row>
    <row r="24" spans="1:29" x14ac:dyDescent="0.2">
      <c r="A24" s="7">
        <v>18</v>
      </c>
      <c r="B24" s="23">
        <f>tomato_sched[[#This Row],[q]]*tomato_crop_hrswk*season_weeks*(1+tomato_crop_dim)^tomato_sched[[#This Row],[q]]</f>
        <v>9007.0660478574246</v>
      </c>
      <c r="C24" s="23">
        <f>MIN(tomato_sched[[#This Row],[hrs]],farmer_hrs_field)</f>
        <v>720</v>
      </c>
      <c r="D24" s="23">
        <f>tomato_sched[[#This Row],[hrs]]-tomato_sched[[#This Row],[perm_hrs]]</f>
        <v>8287.0660478574246</v>
      </c>
      <c r="E24" s="24">
        <f>tomato_sched[[#This Row],[perm_hrs]]*farmer_wage+tomato_sched[[#This Row],[temp_hrs]]*temp_wage</f>
        <v>168872.67444196917</v>
      </c>
      <c r="F24" s="24">
        <f>tomato_sched[[#This Row],[q]]*tomato_crop_fert</f>
        <v>15840</v>
      </c>
      <c r="G24" s="24">
        <f>tomato_sched[[#This Row],[labor]]+tomato_sched[[#This Row],[fert]]</f>
        <v>184712.67444196917</v>
      </c>
      <c r="H24" s="24">
        <f>tomato_sched[[#This Row],[vc]]+fixed_costs</f>
        <v>204712.67444196917</v>
      </c>
      <c r="I24" s="24">
        <f>IF(tomato_sched[[#This Row],[q]]=0,"",tomato_sched[[#This Row],[vc]]-tomato_sched[[#This Row],[vc_1]])</f>
        <v>22993.307496844121</v>
      </c>
      <c r="J24" s="24">
        <f>IF(tomato_sched[[#This Row],[q]]=0,"",tomato_sched[[#This Row],[vc]]/tomato_sched[[#This Row],[q]])</f>
        <v>10261.815246776065</v>
      </c>
      <c r="K24" s="24">
        <f>IF(tomato_sched[[#This Row],[q]]=0,"",tomato_sched[[#This Row],[tc]]/tomato_sched[[#This Row],[q]])</f>
        <v>11372.926357887176</v>
      </c>
      <c r="L24" s="24">
        <f>tomato_crop_price</f>
        <v>8800</v>
      </c>
      <c r="M24" s="25">
        <f>IF(tomato_sched[[#This Row],[q]]=0,1,IF(tomato_sched[[#This Row],[mc]]&lt;=tomato_sched[[#This Row],[price]],1,0))</f>
        <v>0</v>
      </c>
      <c r="N24" s="25">
        <f>IF(tomato_sched[[#This Row],[q]]&lt;=1,"",IF(tomato_sched[[#This Row],[mc]]&lt;tomato_sched[[#This Row],[mc_1]],1,0))</f>
        <v>0</v>
      </c>
      <c r="O24" s="10">
        <f>MAX(tomato_sched[[#This Row],[q]]-1,0)</f>
        <v>17</v>
      </c>
      <c r="P24" s="23">
        <f>tomato_sched[[#This Row],[q_1]]*tomato_crop_hrswk*season_weeks*(1+tomato_crop_dim)^tomato_sched[[#This Row],[q_1]]</f>
        <v>7733.3395360392033</v>
      </c>
      <c r="Q24" s="23">
        <f>MIN(tomato_sched[[#This Row],[hrs_1]],farmer_hrs_field)</f>
        <v>720</v>
      </c>
      <c r="R24" s="23">
        <f>tomato_sched[[#This Row],[hrs_1]]-tomato_sched[[#This Row],[perm_hrs_1]]</f>
        <v>7013.3395360392033</v>
      </c>
      <c r="S24" s="23">
        <f>tomato_sched[[#This Row],[perm_hrs_1]]*farmer_wage+tomato_sched[[#This Row],[temp_hrs_1]]*temp_wage</f>
        <v>146759.36694512505</v>
      </c>
      <c r="T24" s="23">
        <f>tomato_sched[[#This Row],[q_1]]*tomato_crop_fert</f>
        <v>14960</v>
      </c>
      <c r="U24" s="23">
        <f>tomato_sched[[#This Row],[labor_1]]+tomato_sched[[#This Row],[fert_1]]</f>
        <v>161719.36694512505</v>
      </c>
      <c r="V24" s="23">
        <f>MAX(tomato_sched[[#This Row],[q]]-2,0)</f>
        <v>16</v>
      </c>
      <c r="W24" s="23">
        <f>tomato_sched[[#This Row],[q_2]]*tomato_crop_hrswk*season_weeks*(1+tomato_crop_dim)^tomato_sched[[#This Row],[q_2]]</f>
        <v>6616.761100354398</v>
      </c>
      <c r="X24" s="23">
        <f>MIN(tomato_sched[[#This Row],[hrs_2]],farmer_hrs_field)</f>
        <v>720</v>
      </c>
      <c r="Y24" s="23">
        <f>tomato_sched[[#This Row],[hrs_2]]-tomato_sched[[#This Row],[perm_hrs_2]]</f>
        <v>5896.761100354398</v>
      </c>
      <c r="Z24" s="23">
        <f>tomato_sched[[#This Row],[perm_hrs_2]]*farmer_wage+tomato_sched[[#This Row],[temp_hrs_2]]*temp_wage</f>
        <v>127374.32465893052</v>
      </c>
      <c r="AA24" s="23">
        <f>tomato_sched[[#This Row],[q_2]]*tomato_crop_fert</f>
        <v>14080</v>
      </c>
      <c r="AB24" s="23">
        <f>tomato_sched[[#This Row],[labor_2]]+tomato_sched[[#This Row],[fert_2]]</f>
        <v>141454.32465893053</v>
      </c>
      <c r="AC24" s="23">
        <f>IF(tomato_sched[[#This Row],[q]]&lt;=1,"",tomato_sched[[#This Row],[vc_1]]-tomato_sched[[#This Row],[vc_2]])</f>
        <v>20265.042286194512</v>
      </c>
    </row>
    <row r="25" spans="1:29" x14ac:dyDescent="0.2">
      <c r="A25" s="7">
        <v>19</v>
      </c>
      <c r="B25" s="23">
        <f>tomato_sched[[#This Row],[q]]*tomato_crop_hrswk*season_weeks*(1+tomato_crop_dim)^tomato_sched[[#This Row],[q]]</f>
        <v>10458.204466678902</v>
      </c>
      <c r="C25" s="23">
        <f>MIN(tomato_sched[[#This Row],[hrs]],farmer_hrs_field)</f>
        <v>720</v>
      </c>
      <c r="D25" s="23">
        <f>tomato_sched[[#This Row],[hrs]]-tomato_sched[[#This Row],[perm_hrs]]</f>
        <v>9738.2044666789025</v>
      </c>
      <c r="E25" s="24">
        <f>tomato_sched[[#This Row],[perm_hrs]]*farmer_wage+tomato_sched[[#This Row],[temp_hrs]]*temp_wage</f>
        <v>194066.04976873094</v>
      </c>
      <c r="F25" s="24">
        <f>tomato_sched[[#This Row],[q]]*tomato_crop_fert</f>
        <v>16720</v>
      </c>
      <c r="G25" s="24">
        <f>tomato_sched[[#This Row],[labor]]+tomato_sched[[#This Row],[fert]]</f>
        <v>210786.04976873094</v>
      </c>
      <c r="H25" s="24">
        <f>tomato_sched[[#This Row],[vc]]+fixed_costs</f>
        <v>230786.04976873094</v>
      </c>
      <c r="I25" s="24">
        <f>IF(tomato_sched[[#This Row],[q]]=0,"",tomato_sched[[#This Row],[vc]]-tomato_sched[[#This Row],[vc_1]])</f>
        <v>26073.375326761772</v>
      </c>
      <c r="J25" s="24">
        <f>IF(tomato_sched[[#This Row],[q]]=0,"",tomato_sched[[#This Row],[vc]]/tomato_sched[[#This Row],[q]])</f>
        <v>11094.002619406892</v>
      </c>
      <c r="K25" s="24">
        <f>IF(tomato_sched[[#This Row],[q]]=0,"",tomato_sched[[#This Row],[tc]]/tomato_sched[[#This Row],[q]])</f>
        <v>12146.634198354261</v>
      </c>
      <c r="L25" s="24">
        <f>tomato_crop_price</f>
        <v>8800</v>
      </c>
      <c r="M25" s="25">
        <f>IF(tomato_sched[[#This Row],[q]]=0,1,IF(tomato_sched[[#This Row],[mc]]&lt;=tomato_sched[[#This Row],[price]],1,0))</f>
        <v>0</v>
      </c>
      <c r="N25" s="25">
        <f>IF(tomato_sched[[#This Row],[q]]&lt;=1,"",IF(tomato_sched[[#This Row],[mc]]&lt;tomato_sched[[#This Row],[mc_1]],1,0))</f>
        <v>0</v>
      </c>
      <c r="O25" s="10">
        <f>MAX(tomato_sched[[#This Row],[q]]-1,0)</f>
        <v>18</v>
      </c>
      <c r="P25" s="23">
        <f>tomato_sched[[#This Row],[q_1]]*tomato_crop_hrswk*season_weeks*(1+tomato_crop_dim)^tomato_sched[[#This Row],[q_1]]</f>
        <v>9007.0660478574246</v>
      </c>
      <c r="Q25" s="23">
        <f>MIN(tomato_sched[[#This Row],[hrs_1]],farmer_hrs_field)</f>
        <v>720</v>
      </c>
      <c r="R25" s="23">
        <f>tomato_sched[[#This Row],[hrs_1]]-tomato_sched[[#This Row],[perm_hrs_1]]</f>
        <v>8287.0660478574246</v>
      </c>
      <c r="S25" s="23">
        <f>tomato_sched[[#This Row],[perm_hrs_1]]*farmer_wage+tomato_sched[[#This Row],[temp_hrs_1]]*temp_wage</f>
        <v>168872.67444196917</v>
      </c>
      <c r="T25" s="23">
        <f>tomato_sched[[#This Row],[q_1]]*tomato_crop_fert</f>
        <v>15840</v>
      </c>
      <c r="U25" s="23">
        <f>tomato_sched[[#This Row],[labor_1]]+tomato_sched[[#This Row],[fert_1]]</f>
        <v>184712.67444196917</v>
      </c>
      <c r="V25" s="23">
        <f>MAX(tomato_sched[[#This Row],[q]]-2,0)</f>
        <v>17</v>
      </c>
      <c r="W25" s="23">
        <f>tomato_sched[[#This Row],[q_2]]*tomato_crop_hrswk*season_weeks*(1+tomato_crop_dim)^tomato_sched[[#This Row],[q_2]]</f>
        <v>7733.3395360392033</v>
      </c>
      <c r="X25" s="23">
        <f>MIN(tomato_sched[[#This Row],[hrs_2]],farmer_hrs_field)</f>
        <v>720</v>
      </c>
      <c r="Y25" s="23">
        <f>tomato_sched[[#This Row],[hrs_2]]-tomato_sched[[#This Row],[perm_hrs_2]]</f>
        <v>7013.3395360392033</v>
      </c>
      <c r="Z25" s="23">
        <f>tomato_sched[[#This Row],[perm_hrs_2]]*farmer_wage+tomato_sched[[#This Row],[temp_hrs_2]]*temp_wage</f>
        <v>146759.36694512505</v>
      </c>
      <c r="AA25" s="23">
        <f>tomato_sched[[#This Row],[q_2]]*tomato_crop_fert</f>
        <v>14960</v>
      </c>
      <c r="AB25" s="23">
        <f>tomato_sched[[#This Row],[labor_2]]+tomato_sched[[#This Row],[fert_2]]</f>
        <v>161719.36694512505</v>
      </c>
      <c r="AC25" s="23">
        <f>IF(tomato_sched[[#This Row],[q]]&lt;=1,"",tomato_sched[[#This Row],[vc_1]]-tomato_sched[[#This Row],[vc_2]])</f>
        <v>22993.307496844121</v>
      </c>
    </row>
    <row r="26" spans="1:29" x14ac:dyDescent="0.2">
      <c r="A26" s="7">
        <v>20</v>
      </c>
      <c r="B26" s="23">
        <f>tomato_sched[[#This Row],[q]]*tomato_crop_hrswk*season_weeks*(1+tomato_crop_dim)^tomato_sched[[#This Row],[q]]</f>
        <v>12109.499908786096</v>
      </c>
      <c r="C26" s="23">
        <f>MIN(tomato_sched[[#This Row],[hrs]],farmer_hrs_field)</f>
        <v>720</v>
      </c>
      <c r="D26" s="23">
        <f>tomato_sched[[#This Row],[hrs]]-tomato_sched[[#This Row],[perm_hrs]]</f>
        <v>11389.499908786096</v>
      </c>
      <c r="E26" s="24">
        <f>tomato_sched[[#This Row],[perm_hrs]]*farmer_wage+tomato_sched[[#This Row],[temp_hrs]]*temp_wage</f>
        <v>222734.37341642528</v>
      </c>
      <c r="F26" s="24">
        <f>tomato_sched[[#This Row],[q]]*tomato_crop_fert</f>
        <v>17600</v>
      </c>
      <c r="G26" s="24">
        <f>tomato_sched[[#This Row],[labor]]+tomato_sched[[#This Row],[fert]]</f>
        <v>240334.37341642528</v>
      </c>
      <c r="H26" s="24">
        <f>tomato_sched[[#This Row],[vc]]+fixed_costs</f>
        <v>260334.37341642528</v>
      </c>
      <c r="I26" s="24">
        <f>IF(tomato_sched[[#This Row],[q]]=0,"",tomato_sched[[#This Row],[vc]]-tomato_sched[[#This Row],[vc_1]])</f>
        <v>29548.323647694342</v>
      </c>
      <c r="J26" s="24">
        <f>IF(tomato_sched[[#This Row],[q]]=0,"",tomato_sched[[#This Row],[vc]]/tomato_sched[[#This Row],[q]])</f>
        <v>12016.718670821265</v>
      </c>
      <c r="K26" s="24">
        <f>IF(tomato_sched[[#This Row],[q]]=0,"",tomato_sched[[#This Row],[tc]]/tomato_sched[[#This Row],[q]])</f>
        <v>13016.718670821265</v>
      </c>
      <c r="L26" s="24">
        <f>tomato_crop_price</f>
        <v>8800</v>
      </c>
      <c r="M26" s="25">
        <f>IF(tomato_sched[[#This Row],[q]]=0,1,IF(tomato_sched[[#This Row],[mc]]&lt;=tomato_sched[[#This Row],[price]],1,0))</f>
        <v>0</v>
      </c>
      <c r="N26" s="25">
        <f>IF(tomato_sched[[#This Row],[q]]&lt;=1,"",IF(tomato_sched[[#This Row],[mc]]&lt;tomato_sched[[#This Row],[mc_1]],1,0))</f>
        <v>0</v>
      </c>
      <c r="O26" s="10">
        <f>MAX(tomato_sched[[#This Row],[q]]-1,0)</f>
        <v>19</v>
      </c>
      <c r="P26" s="23">
        <f>tomato_sched[[#This Row],[q_1]]*tomato_crop_hrswk*season_weeks*(1+tomato_crop_dim)^tomato_sched[[#This Row],[q_1]]</f>
        <v>10458.204466678902</v>
      </c>
      <c r="Q26" s="23">
        <f>MIN(tomato_sched[[#This Row],[hrs_1]],farmer_hrs_field)</f>
        <v>720</v>
      </c>
      <c r="R26" s="23">
        <f>tomato_sched[[#This Row],[hrs_1]]-tomato_sched[[#This Row],[perm_hrs_1]]</f>
        <v>9738.2044666789025</v>
      </c>
      <c r="S26" s="23">
        <f>tomato_sched[[#This Row],[perm_hrs_1]]*farmer_wage+tomato_sched[[#This Row],[temp_hrs_1]]*temp_wage</f>
        <v>194066.04976873094</v>
      </c>
      <c r="T26" s="23">
        <f>tomato_sched[[#This Row],[q_1]]*tomato_crop_fert</f>
        <v>16720</v>
      </c>
      <c r="U26" s="23">
        <f>tomato_sched[[#This Row],[labor_1]]+tomato_sched[[#This Row],[fert_1]]</f>
        <v>210786.04976873094</v>
      </c>
      <c r="V26" s="23">
        <f>MAX(tomato_sched[[#This Row],[q]]-2,0)</f>
        <v>18</v>
      </c>
      <c r="W26" s="23">
        <f>tomato_sched[[#This Row],[q_2]]*tomato_crop_hrswk*season_weeks*(1+tomato_crop_dim)^tomato_sched[[#This Row],[q_2]]</f>
        <v>9007.0660478574246</v>
      </c>
      <c r="X26" s="23">
        <f>MIN(tomato_sched[[#This Row],[hrs_2]],farmer_hrs_field)</f>
        <v>720</v>
      </c>
      <c r="Y26" s="23">
        <f>tomato_sched[[#This Row],[hrs_2]]-tomato_sched[[#This Row],[perm_hrs_2]]</f>
        <v>8287.0660478574246</v>
      </c>
      <c r="Z26" s="23">
        <f>tomato_sched[[#This Row],[perm_hrs_2]]*farmer_wage+tomato_sched[[#This Row],[temp_hrs_2]]*temp_wage</f>
        <v>168872.67444196917</v>
      </c>
      <c r="AA26" s="23">
        <f>tomato_sched[[#This Row],[q_2]]*tomato_crop_fert</f>
        <v>15840</v>
      </c>
      <c r="AB26" s="23">
        <f>tomato_sched[[#This Row],[labor_2]]+tomato_sched[[#This Row],[fert_2]]</f>
        <v>184712.67444196917</v>
      </c>
      <c r="AC26" s="23">
        <f>IF(tomato_sched[[#This Row],[q]]&lt;=1,"",tomato_sched[[#This Row],[vc_1]]-tomato_sched[[#This Row],[vc_2]])</f>
        <v>26073.375326761772</v>
      </c>
    </row>
    <row r="29" spans="1:29" x14ac:dyDescent="0.2">
      <c r="A29" s="4" t="s">
        <v>100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 spans="1:29" x14ac:dyDescent="0.2">
      <c r="A30" t="s">
        <v>70</v>
      </c>
      <c r="B30" t="s">
        <v>71</v>
      </c>
      <c r="C30" t="s">
        <v>72</v>
      </c>
      <c r="D30" t="s">
        <v>73</v>
      </c>
      <c r="E30" t="s">
        <v>74</v>
      </c>
      <c r="F30" t="s">
        <v>75</v>
      </c>
      <c r="G30" t="s">
        <v>76</v>
      </c>
      <c r="H30" t="s">
        <v>77</v>
      </c>
      <c r="I30" t="s">
        <v>78</v>
      </c>
      <c r="J30" t="s">
        <v>79</v>
      </c>
      <c r="K30" t="s">
        <v>80</v>
      </c>
      <c r="L30" t="s">
        <v>81</v>
      </c>
      <c r="M30" t="s">
        <v>82</v>
      </c>
      <c r="N30" t="s">
        <v>83</v>
      </c>
      <c r="O30" t="s">
        <v>84</v>
      </c>
      <c r="P30" t="s">
        <v>85</v>
      </c>
      <c r="Q30" t="s">
        <v>86</v>
      </c>
      <c r="R30" t="s">
        <v>87</v>
      </c>
      <c r="S30" t="s">
        <v>88</v>
      </c>
      <c r="T30" t="s">
        <v>89</v>
      </c>
      <c r="U30" t="s">
        <v>90</v>
      </c>
      <c r="V30" t="s">
        <v>91</v>
      </c>
      <c r="W30" t="s">
        <v>92</v>
      </c>
      <c r="X30" t="s">
        <v>93</v>
      </c>
      <c r="Y30" t="s">
        <v>94</v>
      </c>
      <c r="Z30" t="s">
        <v>95</v>
      </c>
      <c r="AA30" t="s">
        <v>96</v>
      </c>
      <c r="AB30" t="s">
        <v>97</v>
      </c>
      <c r="AC30" t="s">
        <v>98</v>
      </c>
    </row>
    <row r="31" spans="1:29" x14ac:dyDescent="0.2">
      <c r="A31" s="7">
        <v>0</v>
      </c>
      <c r="B31" s="23">
        <f>carrot_sched[[#This Row],[q]]*carrot_crop_hrswk*season_weeks*(1+carrot_crop_dim)^carrot_sched[[#This Row],[q]]</f>
        <v>0</v>
      </c>
      <c r="C31" s="23">
        <f>MIN(carrot_sched[[#This Row],[hrs]],farmer_hrs_field)</f>
        <v>0</v>
      </c>
      <c r="D31" s="23">
        <f>carrot_sched[[#This Row],[hrs]]-carrot_sched[[#This Row],[perm_hrs]]</f>
        <v>0</v>
      </c>
      <c r="E31" s="24">
        <f>carrot_sched[[#This Row],[perm_hrs]]*farmer_wage+carrot_sched[[#This Row],[temp_hrs]]*temp_wage</f>
        <v>0</v>
      </c>
      <c r="F31" s="24">
        <f>carrot_sched[[#This Row],[q]]*carrot_crop_fert</f>
        <v>0</v>
      </c>
      <c r="G31" s="24">
        <f>carrot_sched[[#This Row],[labor]]+carrot_sched[[#This Row],[fert]]</f>
        <v>0</v>
      </c>
      <c r="H31" s="24">
        <f>carrot_sched[[#This Row],[vc]]+fixed_costs</f>
        <v>20000</v>
      </c>
      <c r="I31" s="24" t="str">
        <f>IF(carrot_sched[[#This Row],[q]]=0,"",carrot_sched[[#This Row],[vc]]-carrot_sched[[#This Row],[vc_1]])</f>
        <v/>
      </c>
      <c r="J31" s="24" t="str">
        <f>IF(carrot_sched[[#This Row],[q]]=0,"",carrot_sched[[#This Row],[vc]]/carrot_sched[[#This Row],[q]])</f>
        <v/>
      </c>
      <c r="K31" s="24" t="str">
        <f>IF(carrot_sched[[#This Row],[q]]=0,"",carrot_sched[[#This Row],[tc]]/carrot_sched[[#This Row],[q]])</f>
        <v/>
      </c>
      <c r="L31" s="24">
        <f>carrot_crop_price</f>
        <v>2094</v>
      </c>
      <c r="M31" s="25">
        <f>IF(carrot_sched[[#This Row],[q]]=0,1,IF(carrot_sched[[#This Row],[mc]]&lt;=carrot_sched[[#This Row],[price]],1,0))</f>
        <v>1</v>
      </c>
      <c r="N31" s="25" t="str">
        <f>IF(carrot_sched[[#This Row],[q]]&lt;=1,"",IF(carrot_sched[[#This Row],[mc]]&lt;carrot_sched[[#This Row],[mc_1]],1,0))</f>
        <v/>
      </c>
      <c r="O31" s="10">
        <f>MAX(carrot_sched[[#This Row],[q]]-1,0)</f>
        <v>0</v>
      </c>
      <c r="P31" s="23">
        <f>carrot_sched[[#This Row],[q_1]]*carrot_crop_hrswk*season_weeks*(1+carrot_crop_dim)^carrot_sched[[#This Row],[q_1]]</f>
        <v>0</v>
      </c>
      <c r="Q31" s="23">
        <f>MIN(carrot_sched[[#This Row],[hrs_1]],farmer_hrs_field)</f>
        <v>0</v>
      </c>
      <c r="R31" s="23">
        <f>carrot_sched[[#This Row],[hrs_1]]-carrot_sched[[#This Row],[perm_hrs_1]]</f>
        <v>0</v>
      </c>
      <c r="S31" s="23">
        <f>carrot_sched[[#This Row],[perm_hrs_1]]*farmer_wage+carrot_sched[[#This Row],[temp_hrs_1]]*temp_wage</f>
        <v>0</v>
      </c>
      <c r="T31" s="23">
        <f>carrot_sched[[#This Row],[q_1]]*carrot_crop_fert</f>
        <v>0</v>
      </c>
      <c r="U31" s="23">
        <f>carrot_sched[[#This Row],[labor_1]]+carrot_sched[[#This Row],[fert_1]]</f>
        <v>0</v>
      </c>
      <c r="V31" s="23">
        <f>MAX(carrot_sched[[#This Row],[q]]-2,0)</f>
        <v>0</v>
      </c>
      <c r="W31" s="23">
        <f>carrot_sched[[#This Row],[q_2]]*carrot_crop_hrswk*season_weeks*(1+carrot_crop_dim)^carrot_sched[[#This Row],[q_2]]</f>
        <v>0</v>
      </c>
      <c r="X31" s="23">
        <f>MIN(carrot_sched[[#This Row],[hrs_2]],farmer_hrs_field)</f>
        <v>0</v>
      </c>
      <c r="Y31" s="23">
        <f>carrot_sched[[#This Row],[hrs_2]]-carrot_sched[[#This Row],[perm_hrs_2]]</f>
        <v>0</v>
      </c>
      <c r="Z31" s="23">
        <f>carrot_sched[[#This Row],[perm_hrs_2]]*farmer_wage+carrot_sched[[#This Row],[temp_hrs_2]]*temp_wage</f>
        <v>0</v>
      </c>
      <c r="AA31" s="23">
        <f>carrot_sched[[#This Row],[q_2]]*carrot_crop_fert</f>
        <v>0</v>
      </c>
      <c r="AB31" s="23">
        <f>carrot_sched[[#This Row],[labor_2]]+carrot_sched[[#This Row],[fert_2]]</f>
        <v>0</v>
      </c>
      <c r="AC31" s="23" t="str">
        <f>IF(carrot_sched[[#This Row],[q]]&lt;=1,"",carrot_sched[[#This Row],[vc_1]]-carrot_sched[[#This Row],[vc_2]])</f>
        <v/>
      </c>
    </row>
    <row r="32" spans="1:29" x14ac:dyDescent="0.2">
      <c r="A32" s="7">
        <v>1</v>
      </c>
      <c r="B32" s="23">
        <f>carrot_sched[[#This Row],[q]]*carrot_crop_hrswk*season_weeks*(1+carrot_crop_dim)^carrot_sched[[#This Row],[q]]</f>
        <v>30.749999999999996</v>
      </c>
      <c r="C32" s="23">
        <f>MIN(carrot_sched[[#This Row],[hrs]],farmer_hrs_field)</f>
        <v>30.749999999999996</v>
      </c>
      <c r="D32" s="23">
        <f>carrot_sched[[#This Row],[hrs]]-carrot_sched[[#This Row],[perm_hrs]]</f>
        <v>0</v>
      </c>
      <c r="E32" s="24">
        <f>carrot_sched[[#This Row],[perm_hrs]]*farmer_wage+carrot_sched[[#This Row],[temp_hrs]]*temp_wage</f>
        <v>1067.7083333333333</v>
      </c>
      <c r="F32" s="24">
        <f>carrot_sched[[#This Row],[q]]*carrot_crop_fert</f>
        <v>440</v>
      </c>
      <c r="G32" s="24">
        <f>carrot_sched[[#This Row],[labor]]+carrot_sched[[#This Row],[fert]]</f>
        <v>1507.7083333333333</v>
      </c>
      <c r="H32" s="24">
        <f>carrot_sched[[#This Row],[vc]]+fixed_costs</f>
        <v>21507.708333333332</v>
      </c>
      <c r="I32" s="24">
        <f>IF(carrot_sched[[#This Row],[q]]=0,"",carrot_sched[[#This Row],[vc]]-carrot_sched[[#This Row],[vc_1]])</f>
        <v>1507.7083333333333</v>
      </c>
      <c r="J32" s="24">
        <f>IF(carrot_sched[[#This Row],[q]]=0,"",carrot_sched[[#This Row],[vc]]/carrot_sched[[#This Row],[q]])</f>
        <v>1507.7083333333333</v>
      </c>
      <c r="K32" s="24">
        <f>IF(carrot_sched[[#This Row],[q]]=0,"",carrot_sched[[#This Row],[tc]]/carrot_sched[[#This Row],[q]])</f>
        <v>21507.708333333332</v>
      </c>
      <c r="L32" s="24">
        <f>carrot_crop_price</f>
        <v>2094</v>
      </c>
      <c r="M32" s="25">
        <f>IF(carrot_sched[[#This Row],[q]]=0,1,IF(carrot_sched[[#This Row],[mc]]&lt;=carrot_sched[[#This Row],[price]],1,0))</f>
        <v>1</v>
      </c>
      <c r="N32" s="25" t="str">
        <f>IF(carrot_sched[[#This Row],[q]]&lt;=1,"",IF(carrot_sched[[#This Row],[mc]]&lt;carrot_sched[[#This Row],[mc_1]],1,0))</f>
        <v/>
      </c>
      <c r="O32" s="10">
        <f>MAX(carrot_sched[[#This Row],[q]]-1,0)</f>
        <v>0</v>
      </c>
      <c r="P32" s="23">
        <f>carrot_sched[[#This Row],[q_1]]*carrot_crop_hrswk*season_weeks*(1+carrot_crop_dim)^carrot_sched[[#This Row],[q_1]]</f>
        <v>0</v>
      </c>
      <c r="Q32" s="23">
        <f>MIN(carrot_sched[[#This Row],[hrs_1]],farmer_hrs_field)</f>
        <v>0</v>
      </c>
      <c r="R32" s="23">
        <f>carrot_sched[[#This Row],[hrs_1]]-carrot_sched[[#This Row],[perm_hrs_1]]</f>
        <v>0</v>
      </c>
      <c r="S32" s="23">
        <f>carrot_sched[[#This Row],[perm_hrs_1]]*farmer_wage+carrot_sched[[#This Row],[temp_hrs_1]]*temp_wage</f>
        <v>0</v>
      </c>
      <c r="T32" s="23">
        <f>carrot_sched[[#This Row],[q_1]]*carrot_crop_fert</f>
        <v>0</v>
      </c>
      <c r="U32" s="23">
        <f>carrot_sched[[#This Row],[labor_1]]+carrot_sched[[#This Row],[fert_1]]</f>
        <v>0</v>
      </c>
      <c r="V32" s="23">
        <f>MAX(carrot_sched[[#This Row],[q]]-2,0)</f>
        <v>0</v>
      </c>
      <c r="W32" s="23">
        <f>carrot_sched[[#This Row],[q_2]]*carrot_crop_hrswk*season_weeks*(1+carrot_crop_dim)^carrot_sched[[#This Row],[q_2]]</f>
        <v>0</v>
      </c>
      <c r="X32" s="23">
        <f>MIN(carrot_sched[[#This Row],[hrs_2]],farmer_hrs_field)</f>
        <v>0</v>
      </c>
      <c r="Y32" s="23">
        <f>carrot_sched[[#This Row],[hrs_2]]-carrot_sched[[#This Row],[perm_hrs_2]]</f>
        <v>0</v>
      </c>
      <c r="Z32" s="23">
        <f>carrot_sched[[#This Row],[perm_hrs_2]]*farmer_wage+carrot_sched[[#This Row],[temp_hrs_2]]*temp_wage</f>
        <v>0</v>
      </c>
      <c r="AA32" s="23">
        <f>carrot_sched[[#This Row],[q_2]]*carrot_crop_fert</f>
        <v>0</v>
      </c>
      <c r="AB32" s="23">
        <f>carrot_sched[[#This Row],[labor_2]]+carrot_sched[[#This Row],[fert_2]]</f>
        <v>0</v>
      </c>
      <c r="AC32" s="23" t="str">
        <f>IF(carrot_sched[[#This Row],[q]]&lt;=1,"",carrot_sched[[#This Row],[vc_1]]-carrot_sched[[#This Row],[vc_2]])</f>
        <v/>
      </c>
    </row>
    <row r="33" spans="1:29" x14ac:dyDescent="0.2">
      <c r="A33" s="7">
        <v>2</v>
      </c>
      <c r="B33" s="23">
        <f>carrot_sched[[#This Row],[q]]*carrot_crop_hrswk*season_weeks*(1+carrot_crop_dim)^carrot_sched[[#This Row],[q]]</f>
        <v>63.037499999999994</v>
      </c>
      <c r="C33" s="23">
        <f>MIN(carrot_sched[[#This Row],[hrs]],farmer_hrs_field)</f>
        <v>63.037499999999994</v>
      </c>
      <c r="D33" s="23">
        <f>carrot_sched[[#This Row],[hrs]]-carrot_sched[[#This Row],[perm_hrs]]</f>
        <v>0</v>
      </c>
      <c r="E33" s="24">
        <f>carrot_sched[[#This Row],[perm_hrs]]*farmer_wage+carrot_sched[[#This Row],[temp_hrs]]*temp_wage</f>
        <v>2188.802083333333</v>
      </c>
      <c r="F33" s="24">
        <f>carrot_sched[[#This Row],[q]]*carrot_crop_fert</f>
        <v>880</v>
      </c>
      <c r="G33" s="24">
        <f>carrot_sched[[#This Row],[labor]]+carrot_sched[[#This Row],[fert]]</f>
        <v>3068.802083333333</v>
      </c>
      <c r="H33" s="24">
        <f>carrot_sched[[#This Row],[vc]]+fixed_costs</f>
        <v>23068.802083333332</v>
      </c>
      <c r="I33" s="24">
        <f>IF(carrot_sched[[#This Row],[q]]=0,"",carrot_sched[[#This Row],[vc]]-carrot_sched[[#This Row],[vc_1]])</f>
        <v>1561.0937499999998</v>
      </c>
      <c r="J33" s="24">
        <f>IF(carrot_sched[[#This Row],[q]]=0,"",carrot_sched[[#This Row],[vc]]/carrot_sched[[#This Row],[q]])</f>
        <v>1534.4010416666665</v>
      </c>
      <c r="K33" s="24">
        <f>IF(carrot_sched[[#This Row],[q]]=0,"",carrot_sched[[#This Row],[tc]]/carrot_sched[[#This Row],[q]])</f>
        <v>11534.401041666666</v>
      </c>
      <c r="L33" s="24">
        <f>carrot_crop_price</f>
        <v>2094</v>
      </c>
      <c r="M33" s="25">
        <f>IF(carrot_sched[[#This Row],[q]]=0,1,IF(carrot_sched[[#This Row],[mc]]&lt;=carrot_sched[[#This Row],[price]],1,0))</f>
        <v>1</v>
      </c>
      <c r="N33" s="25">
        <f>IF(carrot_sched[[#This Row],[q]]&lt;=1,"",IF(carrot_sched[[#This Row],[mc]]&lt;carrot_sched[[#This Row],[mc_1]],1,0))</f>
        <v>0</v>
      </c>
      <c r="O33" s="10">
        <f>MAX(carrot_sched[[#This Row],[q]]-1,0)</f>
        <v>1</v>
      </c>
      <c r="P33" s="23">
        <f>carrot_sched[[#This Row],[q_1]]*carrot_crop_hrswk*season_weeks*(1+carrot_crop_dim)^carrot_sched[[#This Row],[q_1]]</f>
        <v>30.749999999999996</v>
      </c>
      <c r="Q33" s="23">
        <f>MIN(carrot_sched[[#This Row],[hrs_1]],farmer_hrs_field)</f>
        <v>30.749999999999996</v>
      </c>
      <c r="R33" s="23">
        <f>carrot_sched[[#This Row],[hrs_1]]-carrot_sched[[#This Row],[perm_hrs_1]]</f>
        <v>0</v>
      </c>
      <c r="S33" s="23">
        <f>carrot_sched[[#This Row],[perm_hrs_1]]*farmer_wage+carrot_sched[[#This Row],[temp_hrs_1]]*temp_wage</f>
        <v>1067.7083333333333</v>
      </c>
      <c r="T33" s="23">
        <f>carrot_sched[[#This Row],[q_1]]*carrot_crop_fert</f>
        <v>440</v>
      </c>
      <c r="U33" s="23">
        <f>carrot_sched[[#This Row],[labor_1]]+carrot_sched[[#This Row],[fert_1]]</f>
        <v>1507.7083333333333</v>
      </c>
      <c r="V33" s="23">
        <f>MAX(carrot_sched[[#This Row],[q]]-2,0)</f>
        <v>0</v>
      </c>
      <c r="W33" s="23">
        <f>carrot_sched[[#This Row],[q_2]]*carrot_crop_hrswk*season_weeks*(1+carrot_crop_dim)^carrot_sched[[#This Row],[q_2]]</f>
        <v>0</v>
      </c>
      <c r="X33" s="23">
        <f>MIN(carrot_sched[[#This Row],[hrs_2]],farmer_hrs_field)</f>
        <v>0</v>
      </c>
      <c r="Y33" s="23">
        <f>carrot_sched[[#This Row],[hrs_2]]-carrot_sched[[#This Row],[perm_hrs_2]]</f>
        <v>0</v>
      </c>
      <c r="Z33" s="23">
        <f>carrot_sched[[#This Row],[perm_hrs_2]]*farmer_wage+carrot_sched[[#This Row],[temp_hrs_2]]*temp_wage</f>
        <v>0</v>
      </c>
      <c r="AA33" s="23">
        <f>carrot_sched[[#This Row],[q_2]]*carrot_crop_fert</f>
        <v>0</v>
      </c>
      <c r="AB33" s="23">
        <f>carrot_sched[[#This Row],[labor_2]]+carrot_sched[[#This Row],[fert_2]]</f>
        <v>0</v>
      </c>
      <c r="AC33" s="23">
        <f>IF(carrot_sched[[#This Row],[q]]&lt;=1,"",carrot_sched[[#This Row],[vc_1]]-carrot_sched[[#This Row],[vc_2]])</f>
        <v>1507.7083333333333</v>
      </c>
    </row>
    <row r="34" spans="1:29" x14ac:dyDescent="0.2">
      <c r="A34" s="7">
        <v>3</v>
      </c>
      <c r="B34" s="23">
        <f>carrot_sched[[#This Row],[q]]*carrot_crop_hrswk*season_weeks*(1+carrot_crop_dim)^carrot_sched[[#This Row],[q]]</f>
        <v>96.920156249999991</v>
      </c>
      <c r="C34" s="23">
        <f>MIN(carrot_sched[[#This Row],[hrs]],farmer_hrs_field)</f>
        <v>96.920156249999991</v>
      </c>
      <c r="D34" s="23">
        <f>carrot_sched[[#This Row],[hrs]]-carrot_sched[[#This Row],[perm_hrs]]</f>
        <v>0</v>
      </c>
      <c r="E34" s="24">
        <f>carrot_sched[[#This Row],[perm_hrs]]*farmer_wage+carrot_sched[[#This Row],[temp_hrs]]*temp_wage</f>
        <v>3365.2832031249995</v>
      </c>
      <c r="F34" s="24">
        <f>carrot_sched[[#This Row],[q]]*carrot_crop_fert</f>
        <v>1320</v>
      </c>
      <c r="G34" s="24">
        <f>carrot_sched[[#This Row],[labor]]+carrot_sched[[#This Row],[fert]]</f>
        <v>4685.283203125</v>
      </c>
      <c r="H34" s="24">
        <f>carrot_sched[[#This Row],[vc]]+fixed_costs</f>
        <v>24685.283203125</v>
      </c>
      <c r="I34" s="24">
        <f>IF(carrot_sched[[#This Row],[q]]=0,"",carrot_sched[[#This Row],[vc]]-carrot_sched[[#This Row],[vc_1]])</f>
        <v>1616.481119791667</v>
      </c>
      <c r="J34" s="24">
        <f>IF(carrot_sched[[#This Row],[q]]=0,"",carrot_sched[[#This Row],[vc]]/carrot_sched[[#This Row],[q]])</f>
        <v>1561.7610677083333</v>
      </c>
      <c r="K34" s="24">
        <f>IF(carrot_sched[[#This Row],[q]]=0,"",carrot_sched[[#This Row],[tc]]/carrot_sched[[#This Row],[q]])</f>
        <v>8228.427734375</v>
      </c>
      <c r="L34" s="24">
        <f>carrot_crop_price</f>
        <v>2094</v>
      </c>
      <c r="M34" s="25">
        <f>IF(carrot_sched[[#This Row],[q]]=0,1,IF(carrot_sched[[#This Row],[mc]]&lt;=carrot_sched[[#This Row],[price]],1,0))</f>
        <v>1</v>
      </c>
      <c r="N34" s="25">
        <f>IF(carrot_sched[[#This Row],[q]]&lt;=1,"",IF(carrot_sched[[#This Row],[mc]]&lt;carrot_sched[[#This Row],[mc_1]],1,0))</f>
        <v>0</v>
      </c>
      <c r="O34" s="10">
        <f>MAX(carrot_sched[[#This Row],[q]]-1,0)</f>
        <v>2</v>
      </c>
      <c r="P34" s="23">
        <f>carrot_sched[[#This Row],[q_1]]*carrot_crop_hrswk*season_weeks*(1+carrot_crop_dim)^carrot_sched[[#This Row],[q_1]]</f>
        <v>63.037499999999994</v>
      </c>
      <c r="Q34" s="23">
        <f>MIN(carrot_sched[[#This Row],[hrs_1]],farmer_hrs_field)</f>
        <v>63.037499999999994</v>
      </c>
      <c r="R34" s="23">
        <f>carrot_sched[[#This Row],[hrs_1]]-carrot_sched[[#This Row],[perm_hrs_1]]</f>
        <v>0</v>
      </c>
      <c r="S34" s="23">
        <f>carrot_sched[[#This Row],[perm_hrs_1]]*farmer_wage+carrot_sched[[#This Row],[temp_hrs_1]]*temp_wage</f>
        <v>2188.802083333333</v>
      </c>
      <c r="T34" s="23">
        <f>carrot_sched[[#This Row],[q_1]]*carrot_crop_fert</f>
        <v>880</v>
      </c>
      <c r="U34" s="23">
        <f>carrot_sched[[#This Row],[labor_1]]+carrot_sched[[#This Row],[fert_1]]</f>
        <v>3068.802083333333</v>
      </c>
      <c r="V34" s="23">
        <f>MAX(carrot_sched[[#This Row],[q]]-2,0)</f>
        <v>1</v>
      </c>
      <c r="W34" s="23">
        <f>carrot_sched[[#This Row],[q_2]]*carrot_crop_hrswk*season_weeks*(1+carrot_crop_dim)^carrot_sched[[#This Row],[q_2]]</f>
        <v>30.749999999999996</v>
      </c>
      <c r="X34" s="23">
        <f>MIN(carrot_sched[[#This Row],[hrs_2]],farmer_hrs_field)</f>
        <v>30.749999999999996</v>
      </c>
      <c r="Y34" s="23">
        <f>carrot_sched[[#This Row],[hrs_2]]-carrot_sched[[#This Row],[perm_hrs_2]]</f>
        <v>0</v>
      </c>
      <c r="Z34" s="23">
        <f>carrot_sched[[#This Row],[perm_hrs_2]]*farmer_wage+carrot_sched[[#This Row],[temp_hrs_2]]*temp_wage</f>
        <v>1067.7083333333333</v>
      </c>
      <c r="AA34" s="23">
        <f>carrot_sched[[#This Row],[q_2]]*carrot_crop_fert</f>
        <v>440</v>
      </c>
      <c r="AB34" s="23">
        <f>carrot_sched[[#This Row],[labor_2]]+carrot_sched[[#This Row],[fert_2]]</f>
        <v>1507.7083333333333</v>
      </c>
      <c r="AC34" s="23">
        <f>IF(carrot_sched[[#This Row],[q]]&lt;=1,"",carrot_sched[[#This Row],[vc_1]]-carrot_sched[[#This Row],[vc_2]])</f>
        <v>1561.0937499999998</v>
      </c>
    </row>
    <row r="35" spans="1:29" x14ac:dyDescent="0.2">
      <c r="A35" s="7">
        <v>4</v>
      </c>
      <c r="B35" s="23">
        <f>carrot_sched[[#This Row],[q]]*carrot_crop_hrswk*season_weeks*(1+carrot_crop_dim)^carrot_sched[[#This Row],[q]]</f>
        <v>132.45754687499996</v>
      </c>
      <c r="C35" s="23">
        <f>MIN(carrot_sched[[#This Row],[hrs]],farmer_hrs_field)</f>
        <v>132.45754687499996</v>
      </c>
      <c r="D35" s="23">
        <f>carrot_sched[[#This Row],[hrs]]-carrot_sched[[#This Row],[perm_hrs]]</f>
        <v>0</v>
      </c>
      <c r="E35" s="24">
        <f>carrot_sched[[#This Row],[perm_hrs]]*farmer_wage+carrot_sched[[#This Row],[temp_hrs]]*temp_wage</f>
        <v>4599.2203776041652</v>
      </c>
      <c r="F35" s="24">
        <f>carrot_sched[[#This Row],[q]]*carrot_crop_fert</f>
        <v>1760</v>
      </c>
      <c r="G35" s="24">
        <f>carrot_sched[[#This Row],[labor]]+carrot_sched[[#This Row],[fert]]</f>
        <v>6359.2203776041652</v>
      </c>
      <c r="H35" s="24">
        <f>carrot_sched[[#This Row],[vc]]+fixed_costs</f>
        <v>26359.220377604164</v>
      </c>
      <c r="I35" s="24">
        <f>IF(carrot_sched[[#This Row],[q]]=0,"",carrot_sched[[#This Row],[vc]]-carrot_sched[[#This Row],[vc_1]])</f>
        <v>1673.9371744791652</v>
      </c>
      <c r="J35" s="24">
        <f>IF(carrot_sched[[#This Row],[q]]=0,"",carrot_sched[[#This Row],[vc]]/carrot_sched[[#This Row],[q]])</f>
        <v>1589.8050944010413</v>
      </c>
      <c r="K35" s="24">
        <f>IF(carrot_sched[[#This Row],[q]]=0,"",carrot_sched[[#This Row],[tc]]/carrot_sched[[#This Row],[q]])</f>
        <v>6589.8050944010411</v>
      </c>
      <c r="L35" s="24">
        <f>carrot_crop_price</f>
        <v>2094</v>
      </c>
      <c r="M35" s="25">
        <f>IF(carrot_sched[[#This Row],[q]]=0,1,IF(carrot_sched[[#This Row],[mc]]&lt;=carrot_sched[[#This Row],[price]],1,0))</f>
        <v>1</v>
      </c>
      <c r="N35" s="25">
        <f>IF(carrot_sched[[#This Row],[q]]&lt;=1,"",IF(carrot_sched[[#This Row],[mc]]&lt;carrot_sched[[#This Row],[mc_1]],1,0))</f>
        <v>0</v>
      </c>
      <c r="O35" s="10">
        <f>MAX(carrot_sched[[#This Row],[q]]-1,0)</f>
        <v>3</v>
      </c>
      <c r="P35" s="23">
        <f>carrot_sched[[#This Row],[q_1]]*carrot_crop_hrswk*season_weeks*(1+carrot_crop_dim)^carrot_sched[[#This Row],[q_1]]</f>
        <v>96.920156249999991</v>
      </c>
      <c r="Q35" s="23">
        <f>MIN(carrot_sched[[#This Row],[hrs_1]],farmer_hrs_field)</f>
        <v>96.920156249999991</v>
      </c>
      <c r="R35" s="23">
        <f>carrot_sched[[#This Row],[hrs_1]]-carrot_sched[[#This Row],[perm_hrs_1]]</f>
        <v>0</v>
      </c>
      <c r="S35" s="23">
        <f>carrot_sched[[#This Row],[perm_hrs_1]]*farmer_wage+carrot_sched[[#This Row],[temp_hrs_1]]*temp_wage</f>
        <v>3365.2832031249995</v>
      </c>
      <c r="T35" s="23">
        <f>carrot_sched[[#This Row],[q_1]]*carrot_crop_fert</f>
        <v>1320</v>
      </c>
      <c r="U35" s="23">
        <f>carrot_sched[[#This Row],[labor_1]]+carrot_sched[[#This Row],[fert_1]]</f>
        <v>4685.283203125</v>
      </c>
      <c r="V35" s="23">
        <f>MAX(carrot_sched[[#This Row],[q]]-2,0)</f>
        <v>2</v>
      </c>
      <c r="W35" s="23">
        <f>carrot_sched[[#This Row],[q_2]]*carrot_crop_hrswk*season_weeks*(1+carrot_crop_dim)^carrot_sched[[#This Row],[q_2]]</f>
        <v>63.037499999999994</v>
      </c>
      <c r="X35" s="23">
        <f>MIN(carrot_sched[[#This Row],[hrs_2]],farmer_hrs_field)</f>
        <v>63.037499999999994</v>
      </c>
      <c r="Y35" s="23">
        <f>carrot_sched[[#This Row],[hrs_2]]-carrot_sched[[#This Row],[perm_hrs_2]]</f>
        <v>0</v>
      </c>
      <c r="Z35" s="23">
        <f>carrot_sched[[#This Row],[perm_hrs_2]]*farmer_wage+carrot_sched[[#This Row],[temp_hrs_2]]*temp_wage</f>
        <v>2188.802083333333</v>
      </c>
      <c r="AA35" s="23">
        <f>carrot_sched[[#This Row],[q_2]]*carrot_crop_fert</f>
        <v>880</v>
      </c>
      <c r="AB35" s="23">
        <f>carrot_sched[[#This Row],[labor_2]]+carrot_sched[[#This Row],[fert_2]]</f>
        <v>3068.802083333333</v>
      </c>
      <c r="AC35" s="23">
        <f>IF(carrot_sched[[#This Row],[q]]&lt;=1,"",carrot_sched[[#This Row],[vc_1]]-carrot_sched[[#This Row],[vc_2]])</f>
        <v>1616.481119791667</v>
      </c>
    </row>
    <row r="36" spans="1:29" x14ac:dyDescent="0.2">
      <c r="A36" s="7">
        <v>5</v>
      </c>
      <c r="B36" s="23">
        <f>carrot_sched[[#This Row],[q]]*carrot_crop_hrswk*season_weeks*(1+carrot_crop_dim)^carrot_sched[[#This Row],[q]]</f>
        <v>169.71123193359369</v>
      </c>
      <c r="C36" s="23">
        <f>MIN(carrot_sched[[#This Row],[hrs]],farmer_hrs_field)</f>
        <v>169.71123193359369</v>
      </c>
      <c r="D36" s="23">
        <f>carrot_sched[[#This Row],[hrs]]-carrot_sched[[#This Row],[perm_hrs]]</f>
        <v>0</v>
      </c>
      <c r="E36" s="24">
        <f>carrot_sched[[#This Row],[perm_hrs]]*farmer_wage+carrot_sched[[#This Row],[temp_hrs]]*temp_wage</f>
        <v>5892.7511088053361</v>
      </c>
      <c r="F36" s="24">
        <f>carrot_sched[[#This Row],[q]]*carrot_crop_fert</f>
        <v>2200</v>
      </c>
      <c r="G36" s="24">
        <f>carrot_sched[[#This Row],[labor]]+carrot_sched[[#This Row],[fert]]</f>
        <v>8092.7511088053361</v>
      </c>
      <c r="H36" s="24">
        <f>carrot_sched[[#This Row],[vc]]+fixed_costs</f>
        <v>28092.751108805336</v>
      </c>
      <c r="I36" s="24">
        <f>IF(carrot_sched[[#This Row],[q]]=0,"",carrot_sched[[#This Row],[vc]]-carrot_sched[[#This Row],[vc_1]])</f>
        <v>1733.530731201171</v>
      </c>
      <c r="J36" s="24">
        <f>IF(carrot_sched[[#This Row],[q]]=0,"",carrot_sched[[#This Row],[vc]]/carrot_sched[[#This Row],[q]])</f>
        <v>1618.5502217610672</v>
      </c>
      <c r="K36" s="24">
        <f>IF(carrot_sched[[#This Row],[q]]=0,"",carrot_sched[[#This Row],[tc]]/carrot_sched[[#This Row],[q]])</f>
        <v>5618.5502217610674</v>
      </c>
      <c r="L36" s="24">
        <f>carrot_crop_price</f>
        <v>2094</v>
      </c>
      <c r="M36" s="25">
        <f>IF(carrot_sched[[#This Row],[q]]=0,1,IF(carrot_sched[[#This Row],[mc]]&lt;=carrot_sched[[#This Row],[price]],1,0))</f>
        <v>1</v>
      </c>
      <c r="N36" s="25">
        <f>IF(carrot_sched[[#This Row],[q]]&lt;=1,"",IF(carrot_sched[[#This Row],[mc]]&lt;carrot_sched[[#This Row],[mc_1]],1,0))</f>
        <v>0</v>
      </c>
      <c r="O36" s="10">
        <f>MAX(carrot_sched[[#This Row],[q]]-1,0)</f>
        <v>4</v>
      </c>
      <c r="P36" s="23">
        <f>carrot_sched[[#This Row],[q_1]]*carrot_crop_hrswk*season_weeks*(1+carrot_crop_dim)^carrot_sched[[#This Row],[q_1]]</f>
        <v>132.45754687499996</v>
      </c>
      <c r="Q36" s="23">
        <f>MIN(carrot_sched[[#This Row],[hrs_1]],farmer_hrs_field)</f>
        <v>132.45754687499996</v>
      </c>
      <c r="R36" s="23">
        <f>carrot_sched[[#This Row],[hrs_1]]-carrot_sched[[#This Row],[perm_hrs_1]]</f>
        <v>0</v>
      </c>
      <c r="S36" s="23">
        <f>carrot_sched[[#This Row],[perm_hrs_1]]*farmer_wage+carrot_sched[[#This Row],[temp_hrs_1]]*temp_wage</f>
        <v>4599.2203776041652</v>
      </c>
      <c r="T36" s="23">
        <f>carrot_sched[[#This Row],[q_1]]*carrot_crop_fert</f>
        <v>1760</v>
      </c>
      <c r="U36" s="23">
        <f>carrot_sched[[#This Row],[labor_1]]+carrot_sched[[#This Row],[fert_1]]</f>
        <v>6359.2203776041652</v>
      </c>
      <c r="V36" s="23">
        <f>MAX(carrot_sched[[#This Row],[q]]-2,0)</f>
        <v>3</v>
      </c>
      <c r="W36" s="23">
        <f>carrot_sched[[#This Row],[q_2]]*carrot_crop_hrswk*season_weeks*(1+carrot_crop_dim)^carrot_sched[[#This Row],[q_2]]</f>
        <v>96.920156249999991</v>
      </c>
      <c r="X36" s="23">
        <f>MIN(carrot_sched[[#This Row],[hrs_2]],farmer_hrs_field)</f>
        <v>96.920156249999991</v>
      </c>
      <c r="Y36" s="23">
        <f>carrot_sched[[#This Row],[hrs_2]]-carrot_sched[[#This Row],[perm_hrs_2]]</f>
        <v>0</v>
      </c>
      <c r="Z36" s="23">
        <f>carrot_sched[[#This Row],[perm_hrs_2]]*farmer_wage+carrot_sched[[#This Row],[temp_hrs_2]]*temp_wage</f>
        <v>3365.2832031249995</v>
      </c>
      <c r="AA36" s="23">
        <f>carrot_sched[[#This Row],[q_2]]*carrot_crop_fert</f>
        <v>1320</v>
      </c>
      <c r="AB36" s="23">
        <f>carrot_sched[[#This Row],[labor_2]]+carrot_sched[[#This Row],[fert_2]]</f>
        <v>4685.283203125</v>
      </c>
      <c r="AC36" s="23">
        <f>IF(carrot_sched[[#This Row],[q]]&lt;=1,"",carrot_sched[[#This Row],[vc_1]]-carrot_sched[[#This Row],[vc_2]])</f>
        <v>1673.9371744791652</v>
      </c>
    </row>
    <row r="37" spans="1:29" x14ac:dyDescent="0.2">
      <c r="A37" s="7">
        <v>6</v>
      </c>
      <c r="B37" s="23">
        <f>carrot_sched[[#This Row],[q]]*carrot_crop_hrswk*season_weeks*(1+carrot_crop_dim)^carrot_sched[[#This Row],[q]]</f>
        <v>208.74481527832023</v>
      </c>
      <c r="C37" s="23">
        <f>MIN(carrot_sched[[#This Row],[hrs]],farmer_hrs_field)</f>
        <v>208.74481527832023</v>
      </c>
      <c r="D37" s="23">
        <f>carrot_sched[[#This Row],[hrs]]-carrot_sched[[#This Row],[perm_hrs]]</f>
        <v>0</v>
      </c>
      <c r="E37" s="24">
        <f>carrot_sched[[#This Row],[perm_hrs]]*farmer_wage+carrot_sched[[#This Row],[temp_hrs]]*temp_wage</f>
        <v>7248.0838638305631</v>
      </c>
      <c r="F37" s="24">
        <f>carrot_sched[[#This Row],[q]]*carrot_crop_fert</f>
        <v>2640</v>
      </c>
      <c r="G37" s="24">
        <f>carrot_sched[[#This Row],[labor]]+carrot_sched[[#This Row],[fert]]</f>
        <v>9888.0838638305631</v>
      </c>
      <c r="H37" s="24">
        <f>carrot_sched[[#This Row],[vc]]+fixed_costs</f>
        <v>29888.083863830565</v>
      </c>
      <c r="I37" s="24">
        <f>IF(carrot_sched[[#This Row],[q]]=0,"",carrot_sched[[#This Row],[vc]]-carrot_sched[[#This Row],[vc_1]])</f>
        <v>1795.332755025227</v>
      </c>
      <c r="J37" s="24">
        <f>IF(carrot_sched[[#This Row],[q]]=0,"",carrot_sched[[#This Row],[vc]]/carrot_sched[[#This Row],[q]])</f>
        <v>1648.0139773050939</v>
      </c>
      <c r="K37" s="24">
        <f>IF(carrot_sched[[#This Row],[q]]=0,"",carrot_sched[[#This Row],[tc]]/carrot_sched[[#This Row],[q]])</f>
        <v>4981.3473106384272</v>
      </c>
      <c r="L37" s="24">
        <f>carrot_crop_price</f>
        <v>2094</v>
      </c>
      <c r="M37" s="25">
        <f>IF(carrot_sched[[#This Row],[q]]=0,1,IF(carrot_sched[[#This Row],[mc]]&lt;=carrot_sched[[#This Row],[price]],1,0))</f>
        <v>1</v>
      </c>
      <c r="N37" s="25">
        <f>IF(carrot_sched[[#This Row],[q]]&lt;=1,"",IF(carrot_sched[[#This Row],[mc]]&lt;carrot_sched[[#This Row],[mc_1]],1,0))</f>
        <v>0</v>
      </c>
      <c r="O37" s="10">
        <f>MAX(carrot_sched[[#This Row],[q]]-1,0)</f>
        <v>5</v>
      </c>
      <c r="P37" s="23">
        <f>carrot_sched[[#This Row],[q_1]]*carrot_crop_hrswk*season_weeks*(1+carrot_crop_dim)^carrot_sched[[#This Row],[q_1]]</f>
        <v>169.71123193359369</v>
      </c>
      <c r="Q37" s="23">
        <f>MIN(carrot_sched[[#This Row],[hrs_1]],farmer_hrs_field)</f>
        <v>169.71123193359369</v>
      </c>
      <c r="R37" s="23">
        <f>carrot_sched[[#This Row],[hrs_1]]-carrot_sched[[#This Row],[perm_hrs_1]]</f>
        <v>0</v>
      </c>
      <c r="S37" s="23">
        <f>carrot_sched[[#This Row],[perm_hrs_1]]*farmer_wage+carrot_sched[[#This Row],[temp_hrs_1]]*temp_wage</f>
        <v>5892.7511088053361</v>
      </c>
      <c r="T37" s="23">
        <f>carrot_sched[[#This Row],[q_1]]*carrot_crop_fert</f>
        <v>2200</v>
      </c>
      <c r="U37" s="23">
        <f>carrot_sched[[#This Row],[labor_1]]+carrot_sched[[#This Row],[fert_1]]</f>
        <v>8092.7511088053361</v>
      </c>
      <c r="V37" s="23">
        <f>MAX(carrot_sched[[#This Row],[q]]-2,0)</f>
        <v>4</v>
      </c>
      <c r="W37" s="23">
        <f>carrot_sched[[#This Row],[q_2]]*carrot_crop_hrswk*season_weeks*(1+carrot_crop_dim)^carrot_sched[[#This Row],[q_2]]</f>
        <v>132.45754687499996</v>
      </c>
      <c r="X37" s="23">
        <f>MIN(carrot_sched[[#This Row],[hrs_2]],farmer_hrs_field)</f>
        <v>132.45754687499996</v>
      </c>
      <c r="Y37" s="23">
        <f>carrot_sched[[#This Row],[hrs_2]]-carrot_sched[[#This Row],[perm_hrs_2]]</f>
        <v>0</v>
      </c>
      <c r="Z37" s="23">
        <f>carrot_sched[[#This Row],[perm_hrs_2]]*farmer_wage+carrot_sched[[#This Row],[temp_hrs_2]]*temp_wage</f>
        <v>4599.2203776041652</v>
      </c>
      <c r="AA37" s="23">
        <f>carrot_sched[[#This Row],[q_2]]*carrot_crop_fert</f>
        <v>1760</v>
      </c>
      <c r="AB37" s="23">
        <f>carrot_sched[[#This Row],[labor_2]]+carrot_sched[[#This Row],[fert_2]]</f>
        <v>6359.2203776041652</v>
      </c>
      <c r="AC37" s="23">
        <f>IF(carrot_sched[[#This Row],[q]]&lt;=1,"",carrot_sched[[#This Row],[vc_1]]-carrot_sched[[#This Row],[vc_2]])</f>
        <v>1733.530731201171</v>
      </c>
    </row>
    <row r="38" spans="1:29" x14ac:dyDescent="0.2">
      <c r="A38" s="7">
        <v>7</v>
      </c>
      <c r="B38" s="23">
        <f>carrot_sched[[#This Row],[q]]*carrot_crop_hrswk*season_weeks*(1+carrot_crop_dim)^carrot_sched[[#This Row],[q]]</f>
        <v>249.62400827032465</v>
      </c>
      <c r="C38" s="23">
        <f>MIN(carrot_sched[[#This Row],[hrs]],farmer_hrs_field)</f>
        <v>249.62400827032465</v>
      </c>
      <c r="D38" s="23">
        <f>carrot_sched[[#This Row],[hrs]]-carrot_sched[[#This Row],[perm_hrs]]</f>
        <v>0</v>
      </c>
      <c r="E38" s="24">
        <f>carrot_sched[[#This Row],[perm_hrs]]*farmer_wage+carrot_sched[[#This Row],[temp_hrs]]*temp_wage</f>
        <v>8667.50028716405</v>
      </c>
      <c r="F38" s="24">
        <f>carrot_sched[[#This Row],[q]]*carrot_crop_fert</f>
        <v>3080</v>
      </c>
      <c r="G38" s="24">
        <f>carrot_sched[[#This Row],[labor]]+carrot_sched[[#This Row],[fert]]</f>
        <v>11747.50028716405</v>
      </c>
      <c r="H38" s="24">
        <f>carrot_sched[[#This Row],[vc]]+fixed_costs</f>
        <v>31747.50028716405</v>
      </c>
      <c r="I38" s="24">
        <f>IF(carrot_sched[[#This Row],[q]]=0,"",carrot_sched[[#This Row],[vc]]-carrot_sched[[#This Row],[vc_1]])</f>
        <v>1859.4164233334868</v>
      </c>
      <c r="J38" s="24">
        <f>IF(carrot_sched[[#This Row],[q]]=0,"",carrot_sched[[#This Row],[vc]]/carrot_sched[[#This Row],[q]])</f>
        <v>1678.2143267377214</v>
      </c>
      <c r="K38" s="24">
        <f>IF(carrot_sched[[#This Row],[q]]=0,"",carrot_sched[[#This Row],[tc]]/carrot_sched[[#This Row],[q]])</f>
        <v>4535.3571838805783</v>
      </c>
      <c r="L38" s="24">
        <f>carrot_crop_price</f>
        <v>2094</v>
      </c>
      <c r="M38" s="25">
        <f>IF(carrot_sched[[#This Row],[q]]=0,1,IF(carrot_sched[[#This Row],[mc]]&lt;=carrot_sched[[#This Row],[price]],1,0))</f>
        <v>1</v>
      </c>
      <c r="N38" s="25">
        <f>IF(carrot_sched[[#This Row],[q]]&lt;=1,"",IF(carrot_sched[[#This Row],[mc]]&lt;carrot_sched[[#This Row],[mc_1]],1,0))</f>
        <v>0</v>
      </c>
      <c r="O38" s="10">
        <f>MAX(carrot_sched[[#This Row],[q]]-1,0)</f>
        <v>6</v>
      </c>
      <c r="P38" s="23">
        <f>carrot_sched[[#This Row],[q_1]]*carrot_crop_hrswk*season_weeks*(1+carrot_crop_dim)^carrot_sched[[#This Row],[q_1]]</f>
        <v>208.74481527832023</v>
      </c>
      <c r="Q38" s="23">
        <f>MIN(carrot_sched[[#This Row],[hrs_1]],farmer_hrs_field)</f>
        <v>208.74481527832023</v>
      </c>
      <c r="R38" s="23">
        <f>carrot_sched[[#This Row],[hrs_1]]-carrot_sched[[#This Row],[perm_hrs_1]]</f>
        <v>0</v>
      </c>
      <c r="S38" s="23">
        <f>carrot_sched[[#This Row],[perm_hrs_1]]*farmer_wage+carrot_sched[[#This Row],[temp_hrs_1]]*temp_wage</f>
        <v>7248.0838638305631</v>
      </c>
      <c r="T38" s="23">
        <f>carrot_sched[[#This Row],[q_1]]*carrot_crop_fert</f>
        <v>2640</v>
      </c>
      <c r="U38" s="23">
        <f>carrot_sched[[#This Row],[labor_1]]+carrot_sched[[#This Row],[fert_1]]</f>
        <v>9888.0838638305631</v>
      </c>
      <c r="V38" s="23">
        <f>MAX(carrot_sched[[#This Row],[q]]-2,0)</f>
        <v>5</v>
      </c>
      <c r="W38" s="23">
        <f>carrot_sched[[#This Row],[q_2]]*carrot_crop_hrswk*season_weeks*(1+carrot_crop_dim)^carrot_sched[[#This Row],[q_2]]</f>
        <v>169.71123193359369</v>
      </c>
      <c r="X38" s="23">
        <f>MIN(carrot_sched[[#This Row],[hrs_2]],farmer_hrs_field)</f>
        <v>169.71123193359369</v>
      </c>
      <c r="Y38" s="23">
        <f>carrot_sched[[#This Row],[hrs_2]]-carrot_sched[[#This Row],[perm_hrs_2]]</f>
        <v>0</v>
      </c>
      <c r="Z38" s="23">
        <f>carrot_sched[[#This Row],[perm_hrs_2]]*farmer_wage+carrot_sched[[#This Row],[temp_hrs_2]]*temp_wage</f>
        <v>5892.7511088053361</v>
      </c>
      <c r="AA38" s="23">
        <f>carrot_sched[[#This Row],[q_2]]*carrot_crop_fert</f>
        <v>2200</v>
      </c>
      <c r="AB38" s="23">
        <f>carrot_sched[[#This Row],[labor_2]]+carrot_sched[[#This Row],[fert_2]]</f>
        <v>8092.7511088053361</v>
      </c>
      <c r="AC38" s="23">
        <f>IF(carrot_sched[[#This Row],[q]]&lt;=1,"",carrot_sched[[#This Row],[vc_1]]-carrot_sched[[#This Row],[vc_2]])</f>
        <v>1795.332755025227</v>
      </c>
    </row>
    <row r="39" spans="1:29" x14ac:dyDescent="0.2">
      <c r="A39" s="7">
        <v>8</v>
      </c>
      <c r="B39" s="23">
        <f>carrot_sched[[#This Row],[q]]*carrot_crop_hrswk*season_weeks*(1+carrot_crop_dim)^carrot_sched[[#This Row],[q]]</f>
        <v>292.41669540238024</v>
      </c>
      <c r="C39" s="23">
        <f>MIN(carrot_sched[[#This Row],[hrs]],farmer_hrs_field)</f>
        <v>292.41669540238024</v>
      </c>
      <c r="D39" s="23">
        <f>carrot_sched[[#This Row],[hrs]]-carrot_sched[[#This Row],[perm_hrs]]</f>
        <v>0</v>
      </c>
      <c r="E39" s="24">
        <f>carrot_sched[[#This Row],[perm_hrs]]*farmer_wage+carrot_sched[[#This Row],[temp_hrs]]*temp_wage</f>
        <v>10153.357479249315</v>
      </c>
      <c r="F39" s="24">
        <f>carrot_sched[[#This Row],[q]]*carrot_crop_fert</f>
        <v>3520</v>
      </c>
      <c r="G39" s="24">
        <f>carrot_sched[[#This Row],[labor]]+carrot_sched[[#This Row],[fert]]</f>
        <v>13673.357479249315</v>
      </c>
      <c r="H39" s="24">
        <f>carrot_sched[[#This Row],[vc]]+fixed_costs</f>
        <v>33673.357479249316</v>
      </c>
      <c r="I39" s="24">
        <f>IF(carrot_sched[[#This Row],[q]]=0,"",carrot_sched[[#This Row],[vc]]-carrot_sched[[#This Row],[vc_1]])</f>
        <v>1925.8571920852646</v>
      </c>
      <c r="J39" s="24">
        <f>IF(carrot_sched[[#This Row],[q]]=0,"",carrot_sched[[#This Row],[vc]]/carrot_sched[[#This Row],[q]])</f>
        <v>1709.1696849061643</v>
      </c>
      <c r="K39" s="24">
        <f>IF(carrot_sched[[#This Row],[q]]=0,"",carrot_sched[[#This Row],[tc]]/carrot_sched[[#This Row],[q]])</f>
        <v>4209.1696849061645</v>
      </c>
      <c r="L39" s="24">
        <f>carrot_crop_price</f>
        <v>2094</v>
      </c>
      <c r="M39" s="25">
        <f>IF(carrot_sched[[#This Row],[q]]=0,1,IF(carrot_sched[[#This Row],[mc]]&lt;=carrot_sched[[#This Row],[price]],1,0))</f>
        <v>1</v>
      </c>
      <c r="N39" s="25">
        <f>IF(carrot_sched[[#This Row],[q]]&lt;=1,"",IF(carrot_sched[[#This Row],[mc]]&lt;carrot_sched[[#This Row],[mc_1]],1,0))</f>
        <v>0</v>
      </c>
      <c r="O39" s="10">
        <f>MAX(carrot_sched[[#This Row],[q]]-1,0)</f>
        <v>7</v>
      </c>
      <c r="P39" s="23">
        <f>carrot_sched[[#This Row],[q_1]]*carrot_crop_hrswk*season_weeks*(1+carrot_crop_dim)^carrot_sched[[#This Row],[q_1]]</f>
        <v>249.62400827032465</v>
      </c>
      <c r="Q39" s="23">
        <f>MIN(carrot_sched[[#This Row],[hrs_1]],farmer_hrs_field)</f>
        <v>249.62400827032465</v>
      </c>
      <c r="R39" s="23">
        <f>carrot_sched[[#This Row],[hrs_1]]-carrot_sched[[#This Row],[perm_hrs_1]]</f>
        <v>0</v>
      </c>
      <c r="S39" s="23">
        <f>carrot_sched[[#This Row],[perm_hrs_1]]*farmer_wage+carrot_sched[[#This Row],[temp_hrs_1]]*temp_wage</f>
        <v>8667.50028716405</v>
      </c>
      <c r="T39" s="23">
        <f>carrot_sched[[#This Row],[q_1]]*carrot_crop_fert</f>
        <v>3080</v>
      </c>
      <c r="U39" s="23">
        <f>carrot_sched[[#This Row],[labor_1]]+carrot_sched[[#This Row],[fert_1]]</f>
        <v>11747.50028716405</v>
      </c>
      <c r="V39" s="23">
        <f>MAX(carrot_sched[[#This Row],[q]]-2,0)</f>
        <v>6</v>
      </c>
      <c r="W39" s="23">
        <f>carrot_sched[[#This Row],[q_2]]*carrot_crop_hrswk*season_weeks*(1+carrot_crop_dim)^carrot_sched[[#This Row],[q_2]]</f>
        <v>208.74481527832023</v>
      </c>
      <c r="X39" s="23">
        <f>MIN(carrot_sched[[#This Row],[hrs_2]],farmer_hrs_field)</f>
        <v>208.74481527832023</v>
      </c>
      <c r="Y39" s="23">
        <f>carrot_sched[[#This Row],[hrs_2]]-carrot_sched[[#This Row],[perm_hrs_2]]</f>
        <v>0</v>
      </c>
      <c r="Z39" s="23">
        <f>carrot_sched[[#This Row],[perm_hrs_2]]*farmer_wage+carrot_sched[[#This Row],[temp_hrs_2]]*temp_wage</f>
        <v>7248.0838638305631</v>
      </c>
      <c r="AA39" s="23">
        <f>carrot_sched[[#This Row],[q_2]]*carrot_crop_fert</f>
        <v>2640</v>
      </c>
      <c r="AB39" s="23">
        <f>carrot_sched[[#This Row],[labor_2]]+carrot_sched[[#This Row],[fert_2]]</f>
        <v>9888.0838638305631</v>
      </c>
      <c r="AC39" s="23">
        <f>IF(carrot_sched[[#This Row],[q]]&lt;=1,"",carrot_sched[[#This Row],[vc_1]]-carrot_sched[[#This Row],[vc_2]])</f>
        <v>1859.4164233334868</v>
      </c>
    </row>
    <row r="40" spans="1:29" x14ac:dyDescent="0.2">
      <c r="A40" s="7">
        <v>9</v>
      </c>
      <c r="B40" s="23">
        <f>carrot_sched[[#This Row],[q]]*carrot_crop_hrswk*season_weeks*(1+carrot_crop_dim)^carrot_sched[[#This Row],[q]]</f>
        <v>337.19300188586965</v>
      </c>
      <c r="C40" s="23">
        <f>MIN(carrot_sched[[#This Row],[hrs]],farmer_hrs_field)</f>
        <v>337.19300188586965</v>
      </c>
      <c r="D40" s="23">
        <f>carrot_sched[[#This Row],[hrs]]-carrot_sched[[#This Row],[perm_hrs]]</f>
        <v>0</v>
      </c>
      <c r="E40" s="24">
        <f>carrot_sched[[#This Row],[perm_hrs]]*farmer_wage+carrot_sched[[#This Row],[temp_hrs]]*temp_wage</f>
        <v>11708.090343259362</v>
      </c>
      <c r="F40" s="24">
        <f>carrot_sched[[#This Row],[q]]*carrot_crop_fert</f>
        <v>3960</v>
      </c>
      <c r="G40" s="24">
        <f>carrot_sched[[#This Row],[labor]]+carrot_sched[[#This Row],[fert]]</f>
        <v>15668.090343259362</v>
      </c>
      <c r="H40" s="24">
        <f>carrot_sched[[#This Row],[vc]]+fixed_costs</f>
        <v>35668.090343259362</v>
      </c>
      <c r="I40" s="24">
        <f>IF(carrot_sched[[#This Row],[q]]=0,"",carrot_sched[[#This Row],[vc]]-carrot_sched[[#This Row],[vc_1]])</f>
        <v>1994.7328640100477</v>
      </c>
      <c r="J40" s="24">
        <f>IF(carrot_sched[[#This Row],[q]]=0,"",carrot_sched[[#This Row],[vc]]/carrot_sched[[#This Row],[q]])</f>
        <v>1740.898927028818</v>
      </c>
      <c r="K40" s="24">
        <f>IF(carrot_sched[[#This Row],[q]]=0,"",carrot_sched[[#This Row],[tc]]/carrot_sched[[#This Row],[q]])</f>
        <v>3963.1211492510402</v>
      </c>
      <c r="L40" s="24">
        <f>carrot_crop_price</f>
        <v>2094</v>
      </c>
      <c r="M40" s="25">
        <f>IF(carrot_sched[[#This Row],[q]]=0,1,IF(carrot_sched[[#This Row],[mc]]&lt;=carrot_sched[[#This Row],[price]],1,0))</f>
        <v>1</v>
      </c>
      <c r="N40" s="25">
        <f>IF(carrot_sched[[#This Row],[q]]&lt;=1,"",IF(carrot_sched[[#This Row],[mc]]&lt;carrot_sched[[#This Row],[mc_1]],1,0))</f>
        <v>0</v>
      </c>
      <c r="O40" s="10">
        <f>MAX(carrot_sched[[#This Row],[q]]-1,0)</f>
        <v>8</v>
      </c>
      <c r="P40" s="23">
        <f>carrot_sched[[#This Row],[q_1]]*carrot_crop_hrswk*season_weeks*(1+carrot_crop_dim)^carrot_sched[[#This Row],[q_1]]</f>
        <v>292.41669540238024</v>
      </c>
      <c r="Q40" s="23">
        <f>MIN(carrot_sched[[#This Row],[hrs_1]],farmer_hrs_field)</f>
        <v>292.41669540238024</v>
      </c>
      <c r="R40" s="23">
        <f>carrot_sched[[#This Row],[hrs_1]]-carrot_sched[[#This Row],[perm_hrs_1]]</f>
        <v>0</v>
      </c>
      <c r="S40" s="23">
        <f>carrot_sched[[#This Row],[perm_hrs_1]]*farmer_wage+carrot_sched[[#This Row],[temp_hrs_1]]*temp_wage</f>
        <v>10153.357479249315</v>
      </c>
      <c r="T40" s="23">
        <f>carrot_sched[[#This Row],[q_1]]*carrot_crop_fert</f>
        <v>3520</v>
      </c>
      <c r="U40" s="23">
        <f>carrot_sched[[#This Row],[labor_1]]+carrot_sched[[#This Row],[fert_1]]</f>
        <v>13673.357479249315</v>
      </c>
      <c r="V40" s="23">
        <f>MAX(carrot_sched[[#This Row],[q]]-2,0)</f>
        <v>7</v>
      </c>
      <c r="W40" s="23">
        <f>carrot_sched[[#This Row],[q_2]]*carrot_crop_hrswk*season_weeks*(1+carrot_crop_dim)^carrot_sched[[#This Row],[q_2]]</f>
        <v>249.62400827032465</v>
      </c>
      <c r="X40" s="23">
        <f>MIN(carrot_sched[[#This Row],[hrs_2]],farmer_hrs_field)</f>
        <v>249.62400827032465</v>
      </c>
      <c r="Y40" s="23">
        <f>carrot_sched[[#This Row],[hrs_2]]-carrot_sched[[#This Row],[perm_hrs_2]]</f>
        <v>0</v>
      </c>
      <c r="Z40" s="23">
        <f>carrot_sched[[#This Row],[perm_hrs_2]]*farmer_wage+carrot_sched[[#This Row],[temp_hrs_2]]*temp_wage</f>
        <v>8667.50028716405</v>
      </c>
      <c r="AA40" s="23">
        <f>carrot_sched[[#This Row],[q_2]]*carrot_crop_fert</f>
        <v>3080</v>
      </c>
      <c r="AB40" s="23">
        <f>carrot_sched[[#This Row],[labor_2]]+carrot_sched[[#This Row],[fert_2]]</f>
        <v>11747.50028716405</v>
      </c>
      <c r="AC40" s="23">
        <f>IF(carrot_sched[[#This Row],[q]]&lt;=1,"",carrot_sched[[#This Row],[vc_1]]-carrot_sched[[#This Row],[vc_2]])</f>
        <v>1925.8571920852646</v>
      </c>
    </row>
    <row r="41" spans="1:29" x14ac:dyDescent="0.2">
      <c r="A41" s="7">
        <v>10</v>
      </c>
      <c r="B41" s="23">
        <f>carrot_sched[[#This Row],[q]]*carrot_crop_hrswk*season_weeks*(1+carrot_crop_dim)^carrot_sched[[#This Row],[q]]</f>
        <v>384.02536325890713</v>
      </c>
      <c r="C41" s="23">
        <f>MIN(carrot_sched[[#This Row],[hrs]],farmer_hrs_field)</f>
        <v>384.02536325890713</v>
      </c>
      <c r="D41" s="23">
        <f>carrot_sched[[#This Row],[hrs]]-carrot_sched[[#This Row],[perm_hrs]]</f>
        <v>0</v>
      </c>
      <c r="E41" s="24">
        <f>carrot_sched[[#This Row],[perm_hrs]]*farmer_wage+carrot_sched[[#This Row],[temp_hrs]]*temp_wage</f>
        <v>13334.214002045386</v>
      </c>
      <c r="F41" s="24">
        <f>carrot_sched[[#This Row],[q]]*carrot_crop_fert</f>
        <v>4400</v>
      </c>
      <c r="G41" s="24">
        <f>carrot_sched[[#This Row],[labor]]+carrot_sched[[#This Row],[fert]]</f>
        <v>17734.214002045388</v>
      </c>
      <c r="H41" s="24">
        <f>carrot_sched[[#This Row],[vc]]+fixed_costs</f>
        <v>37734.214002045388</v>
      </c>
      <c r="I41" s="24">
        <f>IF(carrot_sched[[#This Row],[q]]=0,"",carrot_sched[[#This Row],[vc]]-carrot_sched[[#This Row],[vc_1]])</f>
        <v>2066.1236587860258</v>
      </c>
      <c r="J41" s="24">
        <f>IF(carrot_sched[[#This Row],[q]]=0,"",carrot_sched[[#This Row],[vc]]/carrot_sched[[#This Row],[q]])</f>
        <v>1773.4214002045387</v>
      </c>
      <c r="K41" s="24">
        <f>IF(carrot_sched[[#This Row],[q]]=0,"",carrot_sched[[#This Row],[tc]]/carrot_sched[[#This Row],[q]])</f>
        <v>3773.4214002045387</v>
      </c>
      <c r="L41" s="24">
        <f>carrot_crop_price</f>
        <v>2094</v>
      </c>
      <c r="M41" s="25">
        <f>IF(carrot_sched[[#This Row],[q]]=0,1,IF(carrot_sched[[#This Row],[mc]]&lt;=carrot_sched[[#This Row],[price]],1,0))</f>
        <v>1</v>
      </c>
      <c r="N41" s="25">
        <f>IF(carrot_sched[[#This Row],[q]]&lt;=1,"",IF(carrot_sched[[#This Row],[mc]]&lt;carrot_sched[[#This Row],[mc_1]],1,0))</f>
        <v>0</v>
      </c>
      <c r="O41" s="10">
        <f>MAX(carrot_sched[[#This Row],[q]]-1,0)</f>
        <v>9</v>
      </c>
      <c r="P41" s="23">
        <f>carrot_sched[[#This Row],[q_1]]*carrot_crop_hrswk*season_weeks*(1+carrot_crop_dim)^carrot_sched[[#This Row],[q_1]]</f>
        <v>337.19300188586965</v>
      </c>
      <c r="Q41" s="23">
        <f>MIN(carrot_sched[[#This Row],[hrs_1]],farmer_hrs_field)</f>
        <v>337.19300188586965</v>
      </c>
      <c r="R41" s="23">
        <f>carrot_sched[[#This Row],[hrs_1]]-carrot_sched[[#This Row],[perm_hrs_1]]</f>
        <v>0</v>
      </c>
      <c r="S41" s="23">
        <f>carrot_sched[[#This Row],[perm_hrs_1]]*farmer_wage+carrot_sched[[#This Row],[temp_hrs_1]]*temp_wage</f>
        <v>11708.090343259362</v>
      </c>
      <c r="T41" s="23">
        <f>carrot_sched[[#This Row],[q_1]]*carrot_crop_fert</f>
        <v>3960</v>
      </c>
      <c r="U41" s="23">
        <f>carrot_sched[[#This Row],[labor_1]]+carrot_sched[[#This Row],[fert_1]]</f>
        <v>15668.090343259362</v>
      </c>
      <c r="V41" s="23">
        <f>MAX(carrot_sched[[#This Row],[q]]-2,0)</f>
        <v>8</v>
      </c>
      <c r="W41" s="23">
        <f>carrot_sched[[#This Row],[q_2]]*carrot_crop_hrswk*season_weeks*(1+carrot_crop_dim)^carrot_sched[[#This Row],[q_2]]</f>
        <v>292.41669540238024</v>
      </c>
      <c r="X41" s="23">
        <f>MIN(carrot_sched[[#This Row],[hrs_2]],farmer_hrs_field)</f>
        <v>292.41669540238024</v>
      </c>
      <c r="Y41" s="23">
        <f>carrot_sched[[#This Row],[hrs_2]]-carrot_sched[[#This Row],[perm_hrs_2]]</f>
        <v>0</v>
      </c>
      <c r="Z41" s="23">
        <f>carrot_sched[[#This Row],[perm_hrs_2]]*farmer_wage+carrot_sched[[#This Row],[temp_hrs_2]]*temp_wage</f>
        <v>10153.357479249315</v>
      </c>
      <c r="AA41" s="23">
        <f>carrot_sched[[#This Row],[q_2]]*carrot_crop_fert</f>
        <v>3520</v>
      </c>
      <c r="AB41" s="23">
        <f>carrot_sched[[#This Row],[labor_2]]+carrot_sched[[#This Row],[fert_2]]</f>
        <v>13673.357479249315</v>
      </c>
      <c r="AC41" s="23">
        <f>IF(carrot_sched[[#This Row],[q]]&lt;=1,"",carrot_sched[[#This Row],[vc_1]]-carrot_sched[[#This Row],[vc_2]])</f>
        <v>1994.7328640100477</v>
      </c>
    </row>
    <row r="42" spans="1:29" x14ac:dyDescent="0.2">
      <c r="A42" s="7">
        <v>11</v>
      </c>
      <c r="B42" s="23">
        <f>carrot_sched[[#This Row],[q]]*carrot_crop_hrswk*season_weeks*(1+carrot_crop_dim)^carrot_sched[[#This Row],[q]]</f>
        <v>432.98859707441784</v>
      </c>
      <c r="C42" s="23">
        <f>MIN(carrot_sched[[#This Row],[hrs]],farmer_hrs_field)</f>
        <v>432.98859707441784</v>
      </c>
      <c r="D42" s="23">
        <f>carrot_sched[[#This Row],[hrs]]-carrot_sched[[#This Row],[perm_hrs]]</f>
        <v>0</v>
      </c>
      <c r="E42" s="24">
        <f>carrot_sched[[#This Row],[perm_hrs]]*farmer_wage+carrot_sched[[#This Row],[temp_hrs]]*temp_wage</f>
        <v>15034.326287306174</v>
      </c>
      <c r="F42" s="24">
        <f>carrot_sched[[#This Row],[q]]*carrot_crop_fert</f>
        <v>4840</v>
      </c>
      <c r="G42" s="24">
        <f>carrot_sched[[#This Row],[labor]]+carrot_sched[[#This Row],[fert]]</f>
        <v>19874.326287306176</v>
      </c>
      <c r="H42" s="24">
        <f>carrot_sched[[#This Row],[vc]]+fixed_costs</f>
        <v>39874.326287306176</v>
      </c>
      <c r="I42" s="24">
        <f>IF(carrot_sched[[#This Row],[q]]=0,"",carrot_sched[[#This Row],[vc]]-carrot_sched[[#This Row],[vc_1]])</f>
        <v>2140.1122852607878</v>
      </c>
      <c r="J42" s="24">
        <f>IF(carrot_sched[[#This Row],[q]]=0,"",carrot_sched[[#This Row],[vc]]/carrot_sched[[#This Row],[q]])</f>
        <v>1806.7569352096523</v>
      </c>
      <c r="K42" s="24">
        <f>IF(carrot_sched[[#This Row],[q]]=0,"",carrot_sched[[#This Row],[tc]]/carrot_sched[[#This Row],[q]])</f>
        <v>3624.9387533914705</v>
      </c>
      <c r="L42" s="24">
        <f>carrot_crop_price</f>
        <v>2094</v>
      </c>
      <c r="M42" s="25">
        <f>IF(carrot_sched[[#This Row],[q]]=0,1,IF(carrot_sched[[#This Row],[mc]]&lt;=carrot_sched[[#This Row],[price]],1,0))</f>
        <v>0</v>
      </c>
      <c r="N42" s="25">
        <f>IF(carrot_sched[[#This Row],[q]]&lt;=1,"",IF(carrot_sched[[#This Row],[mc]]&lt;carrot_sched[[#This Row],[mc_1]],1,0))</f>
        <v>0</v>
      </c>
      <c r="O42" s="10">
        <f>MAX(carrot_sched[[#This Row],[q]]-1,0)</f>
        <v>10</v>
      </c>
      <c r="P42" s="23">
        <f>carrot_sched[[#This Row],[q_1]]*carrot_crop_hrswk*season_weeks*(1+carrot_crop_dim)^carrot_sched[[#This Row],[q_1]]</f>
        <v>384.02536325890713</v>
      </c>
      <c r="Q42" s="23">
        <f>MIN(carrot_sched[[#This Row],[hrs_1]],farmer_hrs_field)</f>
        <v>384.02536325890713</v>
      </c>
      <c r="R42" s="23">
        <f>carrot_sched[[#This Row],[hrs_1]]-carrot_sched[[#This Row],[perm_hrs_1]]</f>
        <v>0</v>
      </c>
      <c r="S42" s="23">
        <f>carrot_sched[[#This Row],[perm_hrs_1]]*farmer_wage+carrot_sched[[#This Row],[temp_hrs_1]]*temp_wage</f>
        <v>13334.214002045386</v>
      </c>
      <c r="T42" s="23">
        <f>carrot_sched[[#This Row],[q_1]]*carrot_crop_fert</f>
        <v>4400</v>
      </c>
      <c r="U42" s="23">
        <f>carrot_sched[[#This Row],[labor_1]]+carrot_sched[[#This Row],[fert_1]]</f>
        <v>17734.214002045388</v>
      </c>
      <c r="V42" s="23">
        <f>MAX(carrot_sched[[#This Row],[q]]-2,0)</f>
        <v>9</v>
      </c>
      <c r="W42" s="23">
        <f>carrot_sched[[#This Row],[q_2]]*carrot_crop_hrswk*season_weeks*(1+carrot_crop_dim)^carrot_sched[[#This Row],[q_2]]</f>
        <v>337.19300188586965</v>
      </c>
      <c r="X42" s="23">
        <f>MIN(carrot_sched[[#This Row],[hrs_2]],farmer_hrs_field)</f>
        <v>337.19300188586965</v>
      </c>
      <c r="Y42" s="23">
        <f>carrot_sched[[#This Row],[hrs_2]]-carrot_sched[[#This Row],[perm_hrs_2]]</f>
        <v>0</v>
      </c>
      <c r="Z42" s="23">
        <f>carrot_sched[[#This Row],[perm_hrs_2]]*farmer_wage+carrot_sched[[#This Row],[temp_hrs_2]]*temp_wage</f>
        <v>11708.090343259362</v>
      </c>
      <c r="AA42" s="23">
        <f>carrot_sched[[#This Row],[q_2]]*carrot_crop_fert</f>
        <v>3960</v>
      </c>
      <c r="AB42" s="23">
        <f>carrot_sched[[#This Row],[labor_2]]+carrot_sched[[#This Row],[fert_2]]</f>
        <v>15668.090343259362</v>
      </c>
      <c r="AC42" s="23">
        <f>IF(carrot_sched[[#This Row],[q]]&lt;=1,"",carrot_sched[[#This Row],[vc_1]]-carrot_sched[[#This Row],[vc_2]])</f>
        <v>2066.1236587860258</v>
      </c>
    </row>
    <row r="43" spans="1:29" x14ac:dyDescent="0.2">
      <c r="A43" s="7">
        <v>12</v>
      </c>
      <c r="B43" s="23">
        <f>carrot_sched[[#This Row],[q]]*carrot_crop_hrswk*season_weeks*(1+carrot_crop_dim)^carrot_sched[[#This Row],[q]]</f>
        <v>484.15997672866712</v>
      </c>
      <c r="C43" s="23">
        <f>MIN(carrot_sched[[#This Row],[hrs]],farmer_hrs_field)</f>
        <v>484.15997672866712</v>
      </c>
      <c r="D43" s="23">
        <f>carrot_sched[[#This Row],[hrs]]-carrot_sched[[#This Row],[perm_hrs]]</f>
        <v>0</v>
      </c>
      <c r="E43" s="24">
        <f>carrot_sched[[#This Row],[perm_hrs]]*farmer_wage+carrot_sched[[#This Row],[temp_hrs]]*temp_wage</f>
        <v>16811.11030307872</v>
      </c>
      <c r="F43" s="24">
        <f>carrot_sched[[#This Row],[q]]*carrot_crop_fert</f>
        <v>5280</v>
      </c>
      <c r="G43" s="24">
        <f>carrot_sched[[#This Row],[labor]]+carrot_sched[[#This Row],[fert]]</f>
        <v>22091.11030307872</v>
      </c>
      <c r="H43" s="24">
        <f>carrot_sched[[#This Row],[vc]]+fixed_costs</f>
        <v>42091.11030307872</v>
      </c>
      <c r="I43" s="24">
        <f>IF(carrot_sched[[#This Row],[q]]=0,"",carrot_sched[[#This Row],[vc]]-carrot_sched[[#This Row],[vc_1]])</f>
        <v>2216.7840157725441</v>
      </c>
      <c r="J43" s="24">
        <f>IF(carrot_sched[[#This Row],[q]]=0,"",carrot_sched[[#This Row],[vc]]/carrot_sched[[#This Row],[q]])</f>
        <v>1840.9258585898933</v>
      </c>
      <c r="K43" s="24">
        <f>IF(carrot_sched[[#This Row],[q]]=0,"",carrot_sched[[#This Row],[tc]]/carrot_sched[[#This Row],[q]])</f>
        <v>3507.5925252565598</v>
      </c>
      <c r="L43" s="24">
        <f>carrot_crop_price</f>
        <v>2094</v>
      </c>
      <c r="M43" s="25">
        <f>IF(carrot_sched[[#This Row],[q]]=0,1,IF(carrot_sched[[#This Row],[mc]]&lt;=carrot_sched[[#This Row],[price]],1,0))</f>
        <v>0</v>
      </c>
      <c r="N43" s="25">
        <f>IF(carrot_sched[[#This Row],[q]]&lt;=1,"",IF(carrot_sched[[#This Row],[mc]]&lt;carrot_sched[[#This Row],[mc_1]],1,0))</f>
        <v>0</v>
      </c>
      <c r="O43" s="10">
        <f>MAX(carrot_sched[[#This Row],[q]]-1,0)</f>
        <v>11</v>
      </c>
      <c r="P43" s="23">
        <f>carrot_sched[[#This Row],[q_1]]*carrot_crop_hrswk*season_weeks*(1+carrot_crop_dim)^carrot_sched[[#This Row],[q_1]]</f>
        <v>432.98859707441784</v>
      </c>
      <c r="Q43" s="23">
        <f>MIN(carrot_sched[[#This Row],[hrs_1]],farmer_hrs_field)</f>
        <v>432.98859707441784</v>
      </c>
      <c r="R43" s="23">
        <f>carrot_sched[[#This Row],[hrs_1]]-carrot_sched[[#This Row],[perm_hrs_1]]</f>
        <v>0</v>
      </c>
      <c r="S43" s="23">
        <f>carrot_sched[[#This Row],[perm_hrs_1]]*farmer_wage+carrot_sched[[#This Row],[temp_hrs_1]]*temp_wage</f>
        <v>15034.326287306174</v>
      </c>
      <c r="T43" s="23">
        <f>carrot_sched[[#This Row],[q_1]]*carrot_crop_fert</f>
        <v>4840</v>
      </c>
      <c r="U43" s="23">
        <f>carrot_sched[[#This Row],[labor_1]]+carrot_sched[[#This Row],[fert_1]]</f>
        <v>19874.326287306176</v>
      </c>
      <c r="V43" s="23">
        <f>MAX(carrot_sched[[#This Row],[q]]-2,0)</f>
        <v>10</v>
      </c>
      <c r="W43" s="23">
        <f>carrot_sched[[#This Row],[q_2]]*carrot_crop_hrswk*season_weeks*(1+carrot_crop_dim)^carrot_sched[[#This Row],[q_2]]</f>
        <v>384.02536325890713</v>
      </c>
      <c r="X43" s="23">
        <f>MIN(carrot_sched[[#This Row],[hrs_2]],farmer_hrs_field)</f>
        <v>384.02536325890713</v>
      </c>
      <c r="Y43" s="23">
        <f>carrot_sched[[#This Row],[hrs_2]]-carrot_sched[[#This Row],[perm_hrs_2]]</f>
        <v>0</v>
      </c>
      <c r="Z43" s="23">
        <f>carrot_sched[[#This Row],[perm_hrs_2]]*farmer_wage+carrot_sched[[#This Row],[temp_hrs_2]]*temp_wage</f>
        <v>13334.214002045386</v>
      </c>
      <c r="AA43" s="23">
        <f>carrot_sched[[#This Row],[q_2]]*carrot_crop_fert</f>
        <v>4400</v>
      </c>
      <c r="AB43" s="23">
        <f>carrot_sched[[#This Row],[labor_2]]+carrot_sched[[#This Row],[fert_2]]</f>
        <v>17734.214002045388</v>
      </c>
      <c r="AC43" s="23">
        <f>IF(carrot_sched[[#This Row],[q]]&lt;=1,"",carrot_sched[[#This Row],[vc_1]]-carrot_sched[[#This Row],[vc_2]])</f>
        <v>2140.1122852607878</v>
      </c>
    </row>
    <row r="44" spans="1:29" x14ac:dyDescent="0.2">
      <c r="A44" s="7">
        <v>13</v>
      </c>
      <c r="B44" s="23">
        <f>carrot_sched[[#This Row],[q]]*carrot_crop_hrswk*season_weeks*(1+carrot_crop_dim)^carrot_sched[[#This Row],[q]]</f>
        <v>537.61930749245744</v>
      </c>
      <c r="C44" s="23">
        <f>MIN(carrot_sched[[#This Row],[hrs]],farmer_hrs_field)</f>
        <v>537.61930749245744</v>
      </c>
      <c r="D44" s="23">
        <f>carrot_sched[[#This Row],[hrs]]-carrot_sched[[#This Row],[perm_hrs]]</f>
        <v>0</v>
      </c>
      <c r="E44" s="24">
        <f>carrot_sched[[#This Row],[perm_hrs]]*farmer_wage+carrot_sched[[#This Row],[temp_hrs]]*temp_wage</f>
        <v>18667.337065710326</v>
      </c>
      <c r="F44" s="24">
        <f>carrot_sched[[#This Row],[q]]*carrot_crop_fert</f>
        <v>5720</v>
      </c>
      <c r="G44" s="24">
        <f>carrot_sched[[#This Row],[labor]]+carrot_sched[[#This Row],[fert]]</f>
        <v>24387.337065710326</v>
      </c>
      <c r="H44" s="24">
        <f>carrot_sched[[#This Row],[vc]]+fixed_costs</f>
        <v>44387.337065710322</v>
      </c>
      <c r="I44" s="24">
        <f>IF(carrot_sched[[#This Row],[q]]=0,"",carrot_sched[[#This Row],[vc]]-carrot_sched[[#This Row],[vc_1]])</f>
        <v>2296.2267626316061</v>
      </c>
      <c r="J44" s="24">
        <f>IF(carrot_sched[[#This Row],[q]]=0,"",carrot_sched[[#This Row],[vc]]/carrot_sched[[#This Row],[q]])</f>
        <v>1875.9490050546406</v>
      </c>
      <c r="K44" s="24">
        <f>IF(carrot_sched[[#This Row],[q]]=0,"",carrot_sched[[#This Row],[tc]]/carrot_sched[[#This Row],[q]])</f>
        <v>3414.4105435161787</v>
      </c>
      <c r="L44" s="24">
        <f>carrot_crop_price</f>
        <v>2094</v>
      </c>
      <c r="M44" s="25">
        <f>IF(carrot_sched[[#This Row],[q]]=0,1,IF(carrot_sched[[#This Row],[mc]]&lt;=carrot_sched[[#This Row],[price]],1,0))</f>
        <v>0</v>
      </c>
      <c r="N44" s="25">
        <f>IF(carrot_sched[[#This Row],[q]]&lt;=1,"",IF(carrot_sched[[#This Row],[mc]]&lt;carrot_sched[[#This Row],[mc_1]],1,0))</f>
        <v>0</v>
      </c>
      <c r="O44" s="10">
        <f>MAX(carrot_sched[[#This Row],[q]]-1,0)</f>
        <v>12</v>
      </c>
      <c r="P44" s="23">
        <f>carrot_sched[[#This Row],[q_1]]*carrot_crop_hrswk*season_weeks*(1+carrot_crop_dim)^carrot_sched[[#This Row],[q_1]]</f>
        <v>484.15997672866712</v>
      </c>
      <c r="Q44" s="23">
        <f>MIN(carrot_sched[[#This Row],[hrs_1]],farmer_hrs_field)</f>
        <v>484.15997672866712</v>
      </c>
      <c r="R44" s="23">
        <f>carrot_sched[[#This Row],[hrs_1]]-carrot_sched[[#This Row],[perm_hrs_1]]</f>
        <v>0</v>
      </c>
      <c r="S44" s="23">
        <f>carrot_sched[[#This Row],[perm_hrs_1]]*farmer_wage+carrot_sched[[#This Row],[temp_hrs_1]]*temp_wage</f>
        <v>16811.11030307872</v>
      </c>
      <c r="T44" s="23">
        <f>carrot_sched[[#This Row],[q_1]]*carrot_crop_fert</f>
        <v>5280</v>
      </c>
      <c r="U44" s="23">
        <f>carrot_sched[[#This Row],[labor_1]]+carrot_sched[[#This Row],[fert_1]]</f>
        <v>22091.11030307872</v>
      </c>
      <c r="V44" s="23">
        <f>MAX(carrot_sched[[#This Row],[q]]-2,0)</f>
        <v>11</v>
      </c>
      <c r="W44" s="23">
        <f>carrot_sched[[#This Row],[q_2]]*carrot_crop_hrswk*season_weeks*(1+carrot_crop_dim)^carrot_sched[[#This Row],[q_2]]</f>
        <v>432.98859707441784</v>
      </c>
      <c r="X44" s="23">
        <f>MIN(carrot_sched[[#This Row],[hrs_2]],farmer_hrs_field)</f>
        <v>432.98859707441784</v>
      </c>
      <c r="Y44" s="23">
        <f>carrot_sched[[#This Row],[hrs_2]]-carrot_sched[[#This Row],[perm_hrs_2]]</f>
        <v>0</v>
      </c>
      <c r="Z44" s="23">
        <f>carrot_sched[[#This Row],[perm_hrs_2]]*farmer_wage+carrot_sched[[#This Row],[temp_hrs_2]]*temp_wage</f>
        <v>15034.326287306174</v>
      </c>
      <c r="AA44" s="23">
        <f>carrot_sched[[#This Row],[q_2]]*carrot_crop_fert</f>
        <v>4840</v>
      </c>
      <c r="AB44" s="23">
        <f>carrot_sched[[#This Row],[labor_2]]+carrot_sched[[#This Row],[fert_2]]</f>
        <v>19874.326287306176</v>
      </c>
      <c r="AC44" s="23">
        <f>IF(carrot_sched[[#This Row],[q]]&lt;=1,"",carrot_sched[[#This Row],[vc_1]]-carrot_sched[[#This Row],[vc_2]])</f>
        <v>2216.7840157725441</v>
      </c>
    </row>
    <row r="45" spans="1:29" x14ac:dyDescent="0.2">
      <c r="A45" s="7">
        <v>14</v>
      </c>
      <c r="B45" s="23">
        <f>carrot_sched[[#This Row],[q]]*carrot_crop_hrswk*season_weeks*(1+carrot_crop_dim)^carrot_sched[[#This Row],[q]]</f>
        <v>593.44900480898184</v>
      </c>
      <c r="C45" s="23">
        <f>MIN(carrot_sched[[#This Row],[hrs]],farmer_hrs_field)</f>
        <v>593.44900480898184</v>
      </c>
      <c r="D45" s="23">
        <f>carrot_sched[[#This Row],[hrs]]-carrot_sched[[#This Row],[perm_hrs]]</f>
        <v>0</v>
      </c>
      <c r="E45" s="24">
        <f>carrot_sched[[#This Row],[perm_hrs]]*farmer_wage+carrot_sched[[#This Row],[temp_hrs]]*temp_wage</f>
        <v>20605.868222534093</v>
      </c>
      <c r="F45" s="24">
        <f>carrot_sched[[#This Row],[q]]*carrot_crop_fert</f>
        <v>6160</v>
      </c>
      <c r="G45" s="24">
        <f>carrot_sched[[#This Row],[labor]]+carrot_sched[[#This Row],[fert]]</f>
        <v>26765.868222534093</v>
      </c>
      <c r="H45" s="24">
        <f>carrot_sched[[#This Row],[vc]]+fixed_costs</f>
        <v>46765.868222534089</v>
      </c>
      <c r="I45" s="24">
        <f>IF(carrot_sched[[#This Row],[q]]=0,"",carrot_sched[[#This Row],[vc]]-carrot_sched[[#This Row],[vc_1]])</f>
        <v>2378.5311568237667</v>
      </c>
      <c r="J45" s="24">
        <f>IF(carrot_sched[[#This Row],[q]]=0,"",carrot_sched[[#This Row],[vc]]/carrot_sched[[#This Row],[q]])</f>
        <v>1911.8477301810067</v>
      </c>
      <c r="K45" s="24">
        <f>IF(carrot_sched[[#This Row],[q]]=0,"",carrot_sched[[#This Row],[tc]]/carrot_sched[[#This Row],[q]])</f>
        <v>3340.4191587524351</v>
      </c>
      <c r="L45" s="24">
        <f>carrot_crop_price</f>
        <v>2094</v>
      </c>
      <c r="M45" s="25">
        <f>IF(carrot_sched[[#This Row],[q]]=0,1,IF(carrot_sched[[#This Row],[mc]]&lt;=carrot_sched[[#This Row],[price]],1,0))</f>
        <v>0</v>
      </c>
      <c r="N45" s="25">
        <f>IF(carrot_sched[[#This Row],[q]]&lt;=1,"",IF(carrot_sched[[#This Row],[mc]]&lt;carrot_sched[[#This Row],[mc_1]],1,0))</f>
        <v>0</v>
      </c>
      <c r="O45" s="10">
        <f>MAX(carrot_sched[[#This Row],[q]]-1,0)</f>
        <v>13</v>
      </c>
      <c r="P45" s="23">
        <f>carrot_sched[[#This Row],[q_1]]*carrot_crop_hrswk*season_weeks*(1+carrot_crop_dim)^carrot_sched[[#This Row],[q_1]]</f>
        <v>537.61930749245744</v>
      </c>
      <c r="Q45" s="23">
        <f>MIN(carrot_sched[[#This Row],[hrs_1]],farmer_hrs_field)</f>
        <v>537.61930749245744</v>
      </c>
      <c r="R45" s="23">
        <f>carrot_sched[[#This Row],[hrs_1]]-carrot_sched[[#This Row],[perm_hrs_1]]</f>
        <v>0</v>
      </c>
      <c r="S45" s="23">
        <f>carrot_sched[[#This Row],[perm_hrs_1]]*farmer_wage+carrot_sched[[#This Row],[temp_hrs_1]]*temp_wage</f>
        <v>18667.337065710326</v>
      </c>
      <c r="T45" s="23">
        <f>carrot_sched[[#This Row],[q_1]]*carrot_crop_fert</f>
        <v>5720</v>
      </c>
      <c r="U45" s="23">
        <f>carrot_sched[[#This Row],[labor_1]]+carrot_sched[[#This Row],[fert_1]]</f>
        <v>24387.337065710326</v>
      </c>
      <c r="V45" s="23">
        <f>MAX(carrot_sched[[#This Row],[q]]-2,0)</f>
        <v>12</v>
      </c>
      <c r="W45" s="23">
        <f>carrot_sched[[#This Row],[q_2]]*carrot_crop_hrswk*season_weeks*(1+carrot_crop_dim)^carrot_sched[[#This Row],[q_2]]</f>
        <v>484.15997672866712</v>
      </c>
      <c r="X45" s="23">
        <f>MIN(carrot_sched[[#This Row],[hrs_2]],farmer_hrs_field)</f>
        <v>484.15997672866712</v>
      </c>
      <c r="Y45" s="23">
        <f>carrot_sched[[#This Row],[hrs_2]]-carrot_sched[[#This Row],[perm_hrs_2]]</f>
        <v>0</v>
      </c>
      <c r="Z45" s="23">
        <f>carrot_sched[[#This Row],[perm_hrs_2]]*farmer_wage+carrot_sched[[#This Row],[temp_hrs_2]]*temp_wage</f>
        <v>16811.11030307872</v>
      </c>
      <c r="AA45" s="23">
        <f>carrot_sched[[#This Row],[q_2]]*carrot_crop_fert</f>
        <v>5280</v>
      </c>
      <c r="AB45" s="23">
        <f>carrot_sched[[#This Row],[labor_2]]+carrot_sched[[#This Row],[fert_2]]</f>
        <v>22091.11030307872</v>
      </c>
      <c r="AC45" s="23">
        <f>IF(carrot_sched[[#This Row],[q]]&lt;=1,"",carrot_sched[[#This Row],[vc_1]]-carrot_sched[[#This Row],[vc_2]])</f>
        <v>2296.2267626316061</v>
      </c>
    </row>
    <row r="46" spans="1:29" x14ac:dyDescent="0.2">
      <c r="A46" s="7">
        <v>15</v>
      </c>
      <c r="B46" s="23">
        <f>carrot_sched[[#This Row],[q]]*carrot_crop_hrswk*season_weeks*(1+carrot_crop_dim)^carrot_sched[[#This Row],[q]]</f>
        <v>651.73417492414967</v>
      </c>
      <c r="C46" s="23">
        <f>MIN(carrot_sched[[#This Row],[hrs]],farmer_hrs_field)</f>
        <v>651.73417492414967</v>
      </c>
      <c r="D46" s="23">
        <f>carrot_sched[[#This Row],[hrs]]-carrot_sched[[#This Row],[perm_hrs]]</f>
        <v>0</v>
      </c>
      <c r="E46" s="24">
        <f>carrot_sched[[#This Row],[perm_hrs]]*farmer_wage+carrot_sched[[#This Row],[temp_hrs]]*temp_wage</f>
        <v>22629.658851532975</v>
      </c>
      <c r="F46" s="24">
        <f>carrot_sched[[#This Row],[q]]*carrot_crop_fert</f>
        <v>6600</v>
      </c>
      <c r="G46" s="24">
        <f>carrot_sched[[#This Row],[labor]]+carrot_sched[[#This Row],[fert]]</f>
        <v>29229.658851532975</v>
      </c>
      <c r="H46" s="24">
        <f>carrot_sched[[#This Row],[vc]]+fixed_costs</f>
        <v>49229.658851532979</v>
      </c>
      <c r="I46" s="24">
        <f>IF(carrot_sched[[#This Row],[q]]=0,"",carrot_sched[[#This Row],[vc]]-carrot_sched[[#This Row],[vc_1]])</f>
        <v>2463.7906289988823</v>
      </c>
      <c r="J46" s="24">
        <f>IF(carrot_sched[[#This Row],[q]]=0,"",carrot_sched[[#This Row],[vc]]/carrot_sched[[#This Row],[q]])</f>
        <v>1948.6439234355316</v>
      </c>
      <c r="K46" s="24">
        <f>IF(carrot_sched[[#This Row],[q]]=0,"",carrot_sched[[#This Row],[tc]]/carrot_sched[[#This Row],[q]])</f>
        <v>3281.9772567688651</v>
      </c>
      <c r="L46" s="24">
        <f>carrot_crop_price</f>
        <v>2094</v>
      </c>
      <c r="M46" s="25">
        <f>IF(carrot_sched[[#This Row],[q]]=0,1,IF(carrot_sched[[#This Row],[mc]]&lt;=carrot_sched[[#This Row],[price]],1,0))</f>
        <v>0</v>
      </c>
      <c r="N46" s="25">
        <f>IF(carrot_sched[[#This Row],[q]]&lt;=1,"",IF(carrot_sched[[#This Row],[mc]]&lt;carrot_sched[[#This Row],[mc_1]],1,0))</f>
        <v>0</v>
      </c>
      <c r="O46" s="10">
        <f>MAX(carrot_sched[[#This Row],[q]]-1,0)</f>
        <v>14</v>
      </c>
      <c r="P46" s="23">
        <f>carrot_sched[[#This Row],[q_1]]*carrot_crop_hrswk*season_weeks*(1+carrot_crop_dim)^carrot_sched[[#This Row],[q_1]]</f>
        <v>593.44900480898184</v>
      </c>
      <c r="Q46" s="23">
        <f>MIN(carrot_sched[[#This Row],[hrs_1]],farmer_hrs_field)</f>
        <v>593.44900480898184</v>
      </c>
      <c r="R46" s="23">
        <f>carrot_sched[[#This Row],[hrs_1]]-carrot_sched[[#This Row],[perm_hrs_1]]</f>
        <v>0</v>
      </c>
      <c r="S46" s="23">
        <f>carrot_sched[[#This Row],[perm_hrs_1]]*farmer_wage+carrot_sched[[#This Row],[temp_hrs_1]]*temp_wage</f>
        <v>20605.868222534093</v>
      </c>
      <c r="T46" s="23">
        <f>carrot_sched[[#This Row],[q_1]]*carrot_crop_fert</f>
        <v>6160</v>
      </c>
      <c r="U46" s="23">
        <f>carrot_sched[[#This Row],[labor_1]]+carrot_sched[[#This Row],[fert_1]]</f>
        <v>26765.868222534093</v>
      </c>
      <c r="V46" s="23">
        <f>MAX(carrot_sched[[#This Row],[q]]-2,0)</f>
        <v>13</v>
      </c>
      <c r="W46" s="23">
        <f>carrot_sched[[#This Row],[q_2]]*carrot_crop_hrswk*season_weeks*(1+carrot_crop_dim)^carrot_sched[[#This Row],[q_2]]</f>
        <v>537.61930749245744</v>
      </c>
      <c r="X46" s="23">
        <f>MIN(carrot_sched[[#This Row],[hrs_2]],farmer_hrs_field)</f>
        <v>537.61930749245744</v>
      </c>
      <c r="Y46" s="23">
        <f>carrot_sched[[#This Row],[hrs_2]]-carrot_sched[[#This Row],[perm_hrs_2]]</f>
        <v>0</v>
      </c>
      <c r="Z46" s="23">
        <f>carrot_sched[[#This Row],[perm_hrs_2]]*farmer_wage+carrot_sched[[#This Row],[temp_hrs_2]]*temp_wage</f>
        <v>18667.337065710326</v>
      </c>
      <c r="AA46" s="23">
        <f>carrot_sched[[#This Row],[q_2]]*carrot_crop_fert</f>
        <v>5720</v>
      </c>
      <c r="AB46" s="23">
        <f>carrot_sched[[#This Row],[labor_2]]+carrot_sched[[#This Row],[fert_2]]</f>
        <v>24387.337065710326</v>
      </c>
      <c r="AC46" s="23">
        <f>IF(carrot_sched[[#This Row],[q]]&lt;=1,"",carrot_sched[[#This Row],[vc_1]]-carrot_sched[[#This Row],[vc_2]])</f>
        <v>2378.5311568237667</v>
      </c>
    </row>
    <row r="47" spans="1:29" x14ac:dyDescent="0.2">
      <c r="A47" s="7">
        <v>16</v>
      </c>
      <c r="B47" s="23">
        <f>carrot_sched[[#This Row],[q]]*carrot_crop_hrswk*season_weeks*(1+carrot_crop_dim)^carrot_sched[[#This Row],[q]]</f>
        <v>712.5626979170703</v>
      </c>
      <c r="C47" s="23">
        <f>MIN(carrot_sched[[#This Row],[hrs]],farmer_hrs_field)</f>
        <v>712.5626979170703</v>
      </c>
      <c r="D47" s="23">
        <f>carrot_sched[[#This Row],[hrs]]-carrot_sched[[#This Row],[perm_hrs]]</f>
        <v>0</v>
      </c>
      <c r="E47" s="24">
        <f>carrot_sched[[#This Row],[perm_hrs]]*farmer_wage+carrot_sched[[#This Row],[temp_hrs]]*temp_wage</f>
        <v>24741.760344342718</v>
      </c>
      <c r="F47" s="24">
        <f>carrot_sched[[#This Row],[q]]*carrot_crop_fert</f>
        <v>7040</v>
      </c>
      <c r="G47" s="24">
        <f>carrot_sched[[#This Row],[labor]]+carrot_sched[[#This Row],[fert]]</f>
        <v>31781.760344342718</v>
      </c>
      <c r="H47" s="24">
        <f>carrot_sched[[#This Row],[vc]]+fixed_costs</f>
        <v>51781.760344342722</v>
      </c>
      <c r="I47" s="24">
        <f>IF(carrot_sched[[#This Row],[q]]=0,"",carrot_sched[[#This Row],[vc]]-carrot_sched[[#This Row],[vc_1]])</f>
        <v>2552.1014928097429</v>
      </c>
      <c r="J47" s="24">
        <f>IF(carrot_sched[[#This Row],[q]]=0,"",carrot_sched[[#This Row],[vc]]/carrot_sched[[#This Row],[q]])</f>
        <v>1986.3600215214199</v>
      </c>
      <c r="K47" s="24">
        <f>IF(carrot_sched[[#This Row],[q]]=0,"",carrot_sched[[#This Row],[tc]]/carrot_sched[[#This Row],[q]])</f>
        <v>3236.3600215214201</v>
      </c>
      <c r="L47" s="24">
        <f>carrot_crop_price</f>
        <v>2094</v>
      </c>
      <c r="M47" s="25">
        <f>IF(carrot_sched[[#This Row],[q]]=0,1,IF(carrot_sched[[#This Row],[mc]]&lt;=carrot_sched[[#This Row],[price]],1,0))</f>
        <v>0</v>
      </c>
      <c r="N47" s="25">
        <f>IF(carrot_sched[[#This Row],[q]]&lt;=1,"",IF(carrot_sched[[#This Row],[mc]]&lt;carrot_sched[[#This Row],[mc_1]],1,0))</f>
        <v>0</v>
      </c>
      <c r="O47" s="10">
        <f>MAX(carrot_sched[[#This Row],[q]]-1,0)</f>
        <v>15</v>
      </c>
      <c r="P47" s="23">
        <f>carrot_sched[[#This Row],[q_1]]*carrot_crop_hrswk*season_weeks*(1+carrot_crop_dim)^carrot_sched[[#This Row],[q_1]]</f>
        <v>651.73417492414967</v>
      </c>
      <c r="Q47" s="23">
        <f>MIN(carrot_sched[[#This Row],[hrs_1]],farmer_hrs_field)</f>
        <v>651.73417492414967</v>
      </c>
      <c r="R47" s="23">
        <f>carrot_sched[[#This Row],[hrs_1]]-carrot_sched[[#This Row],[perm_hrs_1]]</f>
        <v>0</v>
      </c>
      <c r="S47" s="23">
        <f>carrot_sched[[#This Row],[perm_hrs_1]]*farmer_wage+carrot_sched[[#This Row],[temp_hrs_1]]*temp_wage</f>
        <v>22629.658851532975</v>
      </c>
      <c r="T47" s="23">
        <f>carrot_sched[[#This Row],[q_1]]*carrot_crop_fert</f>
        <v>6600</v>
      </c>
      <c r="U47" s="23">
        <f>carrot_sched[[#This Row],[labor_1]]+carrot_sched[[#This Row],[fert_1]]</f>
        <v>29229.658851532975</v>
      </c>
      <c r="V47" s="23">
        <f>MAX(carrot_sched[[#This Row],[q]]-2,0)</f>
        <v>14</v>
      </c>
      <c r="W47" s="23">
        <f>carrot_sched[[#This Row],[q_2]]*carrot_crop_hrswk*season_weeks*(1+carrot_crop_dim)^carrot_sched[[#This Row],[q_2]]</f>
        <v>593.44900480898184</v>
      </c>
      <c r="X47" s="23">
        <f>MIN(carrot_sched[[#This Row],[hrs_2]],farmer_hrs_field)</f>
        <v>593.44900480898184</v>
      </c>
      <c r="Y47" s="23">
        <f>carrot_sched[[#This Row],[hrs_2]]-carrot_sched[[#This Row],[perm_hrs_2]]</f>
        <v>0</v>
      </c>
      <c r="Z47" s="23">
        <f>carrot_sched[[#This Row],[perm_hrs_2]]*farmer_wage+carrot_sched[[#This Row],[temp_hrs_2]]*temp_wage</f>
        <v>20605.868222534093</v>
      </c>
      <c r="AA47" s="23">
        <f>carrot_sched[[#This Row],[q_2]]*carrot_crop_fert</f>
        <v>6160</v>
      </c>
      <c r="AB47" s="23">
        <f>carrot_sched[[#This Row],[labor_2]]+carrot_sched[[#This Row],[fert_2]]</f>
        <v>26765.868222534093</v>
      </c>
      <c r="AC47" s="23">
        <f>IF(carrot_sched[[#This Row],[q]]&lt;=1,"",carrot_sched[[#This Row],[vc_1]]-carrot_sched[[#This Row],[vc_2]])</f>
        <v>2463.7906289988823</v>
      </c>
    </row>
    <row r="48" spans="1:29" x14ac:dyDescent="0.2">
      <c r="A48" s="7">
        <v>17</v>
      </c>
      <c r="B48" s="23">
        <f>carrot_sched[[#This Row],[q]]*carrot_crop_hrswk*season_weeks*(1+carrot_crop_dim)^carrot_sched[[#This Row],[q]]</f>
        <v>776.02531320030937</v>
      </c>
      <c r="C48" s="23">
        <f>MIN(carrot_sched[[#This Row],[hrs]],farmer_hrs_field)</f>
        <v>720</v>
      </c>
      <c r="D48" s="23">
        <f>carrot_sched[[#This Row],[hrs]]-carrot_sched[[#This Row],[perm_hrs]]</f>
        <v>56.02531320030937</v>
      </c>
      <c r="E48" s="24">
        <f>carrot_sched[[#This Row],[perm_hrs]]*farmer_wage+carrot_sched[[#This Row],[temp_hrs]]*temp_wage</f>
        <v>25972.66168750537</v>
      </c>
      <c r="F48" s="24">
        <f>carrot_sched[[#This Row],[q]]*carrot_crop_fert</f>
        <v>7480</v>
      </c>
      <c r="G48" s="24">
        <f>carrot_sched[[#This Row],[labor]]+carrot_sched[[#This Row],[fert]]</f>
        <v>33452.661687505373</v>
      </c>
      <c r="H48" s="24">
        <f>carrot_sched[[#This Row],[vc]]+fixed_costs</f>
        <v>53452.661687505373</v>
      </c>
      <c r="I48" s="24">
        <f>IF(carrot_sched[[#This Row],[q]]=0,"",carrot_sched[[#This Row],[vc]]-carrot_sched[[#This Row],[vc_1]])</f>
        <v>1670.9013431626554</v>
      </c>
      <c r="J48" s="24">
        <f>IF(carrot_sched[[#This Row],[q]]=0,"",carrot_sched[[#This Row],[vc]]/carrot_sched[[#This Row],[q]])</f>
        <v>1967.8036286767867</v>
      </c>
      <c r="K48" s="24">
        <f>IF(carrot_sched[[#This Row],[q]]=0,"",carrot_sched[[#This Row],[tc]]/carrot_sched[[#This Row],[q]])</f>
        <v>3144.2742169120806</v>
      </c>
      <c r="L48" s="24">
        <f>carrot_crop_price</f>
        <v>2094</v>
      </c>
      <c r="M48" s="25">
        <f>IF(carrot_sched[[#This Row],[q]]=0,1,IF(carrot_sched[[#This Row],[mc]]&lt;=carrot_sched[[#This Row],[price]],1,0))</f>
        <v>1</v>
      </c>
      <c r="N48" s="25">
        <f>IF(carrot_sched[[#This Row],[q]]&lt;=1,"",IF(carrot_sched[[#This Row],[mc]]&lt;carrot_sched[[#This Row],[mc_1]],1,0))</f>
        <v>1</v>
      </c>
      <c r="O48" s="10">
        <f>MAX(carrot_sched[[#This Row],[q]]-1,0)</f>
        <v>16</v>
      </c>
      <c r="P48" s="23">
        <f>carrot_sched[[#This Row],[q_1]]*carrot_crop_hrswk*season_weeks*(1+carrot_crop_dim)^carrot_sched[[#This Row],[q_1]]</f>
        <v>712.5626979170703</v>
      </c>
      <c r="Q48" s="23">
        <f>MIN(carrot_sched[[#This Row],[hrs_1]],farmer_hrs_field)</f>
        <v>712.5626979170703</v>
      </c>
      <c r="R48" s="23">
        <f>carrot_sched[[#This Row],[hrs_1]]-carrot_sched[[#This Row],[perm_hrs_1]]</f>
        <v>0</v>
      </c>
      <c r="S48" s="23">
        <f>carrot_sched[[#This Row],[perm_hrs_1]]*farmer_wage+carrot_sched[[#This Row],[temp_hrs_1]]*temp_wage</f>
        <v>24741.760344342718</v>
      </c>
      <c r="T48" s="23">
        <f>carrot_sched[[#This Row],[q_1]]*carrot_crop_fert</f>
        <v>7040</v>
      </c>
      <c r="U48" s="23">
        <f>carrot_sched[[#This Row],[labor_1]]+carrot_sched[[#This Row],[fert_1]]</f>
        <v>31781.760344342718</v>
      </c>
      <c r="V48" s="23">
        <f>MAX(carrot_sched[[#This Row],[q]]-2,0)</f>
        <v>15</v>
      </c>
      <c r="W48" s="23">
        <f>carrot_sched[[#This Row],[q_2]]*carrot_crop_hrswk*season_weeks*(1+carrot_crop_dim)^carrot_sched[[#This Row],[q_2]]</f>
        <v>651.73417492414967</v>
      </c>
      <c r="X48" s="23">
        <f>MIN(carrot_sched[[#This Row],[hrs_2]],farmer_hrs_field)</f>
        <v>651.73417492414967</v>
      </c>
      <c r="Y48" s="23">
        <f>carrot_sched[[#This Row],[hrs_2]]-carrot_sched[[#This Row],[perm_hrs_2]]</f>
        <v>0</v>
      </c>
      <c r="Z48" s="23">
        <f>carrot_sched[[#This Row],[perm_hrs_2]]*farmer_wage+carrot_sched[[#This Row],[temp_hrs_2]]*temp_wage</f>
        <v>22629.658851532975</v>
      </c>
      <c r="AA48" s="23">
        <f>carrot_sched[[#This Row],[q_2]]*carrot_crop_fert</f>
        <v>6600</v>
      </c>
      <c r="AB48" s="23">
        <f>carrot_sched[[#This Row],[labor_2]]+carrot_sched[[#This Row],[fert_2]]</f>
        <v>29229.658851532975</v>
      </c>
      <c r="AC48" s="23">
        <f>IF(carrot_sched[[#This Row],[q]]&lt;=1,"",carrot_sched[[#This Row],[vc_1]]-carrot_sched[[#This Row],[vc_2]])</f>
        <v>2552.1014928097429</v>
      </c>
    </row>
    <row r="49" spans="1:29" x14ac:dyDescent="0.2">
      <c r="A49" s="7">
        <v>18</v>
      </c>
      <c r="B49" s="23">
        <f>carrot_sched[[#This Row],[q]]*carrot_crop_hrswk*season_weeks*(1+carrot_crop_dim)^carrot_sched[[#This Row],[q]]</f>
        <v>842.2157075615122</v>
      </c>
      <c r="C49" s="23">
        <f>MIN(carrot_sched[[#This Row],[hrs]],farmer_hrs_field)</f>
        <v>720</v>
      </c>
      <c r="D49" s="23">
        <f>carrot_sched[[#This Row],[hrs]]-carrot_sched[[#This Row],[perm_hrs]]</f>
        <v>122.2157075615122</v>
      </c>
      <c r="E49" s="24">
        <f>carrot_sched[[#This Row],[perm_hrs]]*farmer_wage+carrot_sched[[#This Row],[temp_hrs]]*temp_wage</f>
        <v>27121.800478498477</v>
      </c>
      <c r="F49" s="24">
        <f>carrot_sched[[#This Row],[q]]*carrot_crop_fert</f>
        <v>7920</v>
      </c>
      <c r="G49" s="24">
        <f>carrot_sched[[#This Row],[labor]]+carrot_sched[[#This Row],[fert]]</f>
        <v>35041.800478498481</v>
      </c>
      <c r="H49" s="24">
        <f>carrot_sched[[#This Row],[vc]]+fixed_costs</f>
        <v>55041.800478498481</v>
      </c>
      <c r="I49" s="24">
        <f>IF(carrot_sched[[#This Row],[q]]=0,"",carrot_sched[[#This Row],[vc]]-carrot_sched[[#This Row],[vc_1]])</f>
        <v>1589.1387909931072</v>
      </c>
      <c r="J49" s="24">
        <f>IF(carrot_sched[[#This Row],[q]]=0,"",carrot_sched[[#This Row],[vc]]/carrot_sched[[#This Row],[q]])</f>
        <v>1946.7666932499155</v>
      </c>
      <c r="K49" s="24">
        <f>IF(carrot_sched[[#This Row],[q]]=0,"",carrot_sched[[#This Row],[tc]]/carrot_sched[[#This Row],[q]])</f>
        <v>3057.8778043610268</v>
      </c>
      <c r="L49" s="24">
        <f>carrot_crop_price</f>
        <v>2094</v>
      </c>
      <c r="M49" s="25">
        <f>IF(carrot_sched[[#This Row],[q]]=0,1,IF(carrot_sched[[#This Row],[mc]]&lt;=carrot_sched[[#This Row],[price]],1,0))</f>
        <v>1</v>
      </c>
      <c r="N49" s="25">
        <f>IF(carrot_sched[[#This Row],[q]]&lt;=1,"",IF(carrot_sched[[#This Row],[mc]]&lt;carrot_sched[[#This Row],[mc_1]],1,0))</f>
        <v>1</v>
      </c>
      <c r="O49" s="10">
        <f>MAX(carrot_sched[[#This Row],[q]]-1,0)</f>
        <v>17</v>
      </c>
      <c r="P49" s="23">
        <f>carrot_sched[[#This Row],[q_1]]*carrot_crop_hrswk*season_weeks*(1+carrot_crop_dim)^carrot_sched[[#This Row],[q_1]]</f>
        <v>776.02531320030937</v>
      </c>
      <c r="Q49" s="23">
        <f>MIN(carrot_sched[[#This Row],[hrs_1]],farmer_hrs_field)</f>
        <v>720</v>
      </c>
      <c r="R49" s="23">
        <f>carrot_sched[[#This Row],[hrs_1]]-carrot_sched[[#This Row],[perm_hrs_1]]</f>
        <v>56.02531320030937</v>
      </c>
      <c r="S49" s="23">
        <f>carrot_sched[[#This Row],[perm_hrs_1]]*farmer_wage+carrot_sched[[#This Row],[temp_hrs_1]]*temp_wage</f>
        <v>25972.66168750537</v>
      </c>
      <c r="T49" s="23">
        <f>carrot_sched[[#This Row],[q_1]]*carrot_crop_fert</f>
        <v>7480</v>
      </c>
      <c r="U49" s="23">
        <f>carrot_sched[[#This Row],[labor_1]]+carrot_sched[[#This Row],[fert_1]]</f>
        <v>33452.661687505373</v>
      </c>
      <c r="V49" s="23">
        <f>MAX(carrot_sched[[#This Row],[q]]-2,0)</f>
        <v>16</v>
      </c>
      <c r="W49" s="23">
        <f>carrot_sched[[#This Row],[q_2]]*carrot_crop_hrswk*season_weeks*(1+carrot_crop_dim)^carrot_sched[[#This Row],[q_2]]</f>
        <v>712.5626979170703</v>
      </c>
      <c r="X49" s="23">
        <f>MIN(carrot_sched[[#This Row],[hrs_2]],farmer_hrs_field)</f>
        <v>712.5626979170703</v>
      </c>
      <c r="Y49" s="23">
        <f>carrot_sched[[#This Row],[hrs_2]]-carrot_sched[[#This Row],[perm_hrs_2]]</f>
        <v>0</v>
      </c>
      <c r="Z49" s="23">
        <f>carrot_sched[[#This Row],[perm_hrs_2]]*farmer_wage+carrot_sched[[#This Row],[temp_hrs_2]]*temp_wage</f>
        <v>24741.760344342718</v>
      </c>
      <c r="AA49" s="23">
        <f>carrot_sched[[#This Row],[q_2]]*carrot_crop_fert</f>
        <v>7040</v>
      </c>
      <c r="AB49" s="23">
        <f>carrot_sched[[#This Row],[labor_2]]+carrot_sched[[#This Row],[fert_2]]</f>
        <v>31781.760344342718</v>
      </c>
      <c r="AC49" s="23">
        <f>IF(carrot_sched[[#This Row],[q]]&lt;=1,"",carrot_sched[[#This Row],[vc_1]]-carrot_sched[[#This Row],[vc_2]])</f>
        <v>1670.9013431626554</v>
      </c>
    </row>
    <row r="50" spans="1:29" x14ac:dyDescent="0.2">
      <c r="A50" s="7">
        <v>19</v>
      </c>
      <c r="B50" s="23">
        <f>carrot_sched[[#This Row],[q]]*carrot_crop_hrswk*season_weeks*(1+carrot_crop_dim)^carrot_sched[[#This Row],[q]]</f>
        <v>911.23060582002495</v>
      </c>
      <c r="C50" s="23">
        <f>MIN(carrot_sched[[#This Row],[hrs]],farmer_hrs_field)</f>
        <v>720</v>
      </c>
      <c r="D50" s="23">
        <f>carrot_sched[[#This Row],[hrs]]-carrot_sched[[#This Row],[perm_hrs]]</f>
        <v>191.23060582002495</v>
      </c>
      <c r="E50" s="24">
        <f>carrot_sched[[#This Row],[perm_hrs]]*farmer_wage+carrot_sched[[#This Row],[temp_hrs]]*temp_wage</f>
        <v>28319.975795486545</v>
      </c>
      <c r="F50" s="24">
        <f>carrot_sched[[#This Row],[q]]*carrot_crop_fert</f>
        <v>8360</v>
      </c>
      <c r="G50" s="24">
        <f>carrot_sched[[#This Row],[labor]]+carrot_sched[[#This Row],[fert]]</f>
        <v>36679.975795486549</v>
      </c>
      <c r="H50" s="24">
        <f>carrot_sched[[#This Row],[vc]]+fixed_costs</f>
        <v>56679.975795486549</v>
      </c>
      <c r="I50" s="24">
        <f>IF(carrot_sched[[#This Row],[q]]=0,"",carrot_sched[[#This Row],[vc]]-carrot_sched[[#This Row],[vc_1]])</f>
        <v>1638.1753169880685</v>
      </c>
      <c r="J50" s="24">
        <f>IF(carrot_sched[[#This Row],[q]]=0,"",carrot_sched[[#This Row],[vc]]/carrot_sched[[#This Row],[q]])</f>
        <v>1930.5250418677131</v>
      </c>
      <c r="K50" s="24">
        <f>IF(carrot_sched[[#This Row],[q]]=0,"",carrot_sched[[#This Row],[tc]]/carrot_sched[[#This Row],[q]])</f>
        <v>2983.1566208150816</v>
      </c>
      <c r="L50" s="24">
        <f>carrot_crop_price</f>
        <v>2094</v>
      </c>
      <c r="M50" s="25">
        <f>IF(carrot_sched[[#This Row],[q]]=0,1,IF(carrot_sched[[#This Row],[mc]]&lt;=carrot_sched[[#This Row],[price]],1,0))</f>
        <v>1</v>
      </c>
      <c r="N50" s="25">
        <f>IF(carrot_sched[[#This Row],[q]]&lt;=1,"",IF(carrot_sched[[#This Row],[mc]]&lt;carrot_sched[[#This Row],[mc_1]],1,0))</f>
        <v>0</v>
      </c>
      <c r="O50" s="10">
        <f>MAX(carrot_sched[[#This Row],[q]]-1,0)</f>
        <v>18</v>
      </c>
      <c r="P50" s="23">
        <f>carrot_sched[[#This Row],[q_1]]*carrot_crop_hrswk*season_weeks*(1+carrot_crop_dim)^carrot_sched[[#This Row],[q_1]]</f>
        <v>842.2157075615122</v>
      </c>
      <c r="Q50" s="23">
        <f>MIN(carrot_sched[[#This Row],[hrs_1]],farmer_hrs_field)</f>
        <v>720</v>
      </c>
      <c r="R50" s="23">
        <f>carrot_sched[[#This Row],[hrs_1]]-carrot_sched[[#This Row],[perm_hrs_1]]</f>
        <v>122.2157075615122</v>
      </c>
      <c r="S50" s="23">
        <f>carrot_sched[[#This Row],[perm_hrs_1]]*farmer_wage+carrot_sched[[#This Row],[temp_hrs_1]]*temp_wage</f>
        <v>27121.800478498477</v>
      </c>
      <c r="T50" s="23">
        <f>carrot_sched[[#This Row],[q_1]]*carrot_crop_fert</f>
        <v>7920</v>
      </c>
      <c r="U50" s="23">
        <f>carrot_sched[[#This Row],[labor_1]]+carrot_sched[[#This Row],[fert_1]]</f>
        <v>35041.800478498481</v>
      </c>
      <c r="V50" s="23">
        <f>MAX(carrot_sched[[#This Row],[q]]-2,0)</f>
        <v>17</v>
      </c>
      <c r="W50" s="23">
        <f>carrot_sched[[#This Row],[q_2]]*carrot_crop_hrswk*season_weeks*(1+carrot_crop_dim)^carrot_sched[[#This Row],[q_2]]</f>
        <v>776.02531320030937</v>
      </c>
      <c r="X50" s="23">
        <f>MIN(carrot_sched[[#This Row],[hrs_2]],farmer_hrs_field)</f>
        <v>720</v>
      </c>
      <c r="Y50" s="23">
        <f>carrot_sched[[#This Row],[hrs_2]]-carrot_sched[[#This Row],[perm_hrs_2]]</f>
        <v>56.02531320030937</v>
      </c>
      <c r="Z50" s="23">
        <f>carrot_sched[[#This Row],[perm_hrs_2]]*farmer_wage+carrot_sched[[#This Row],[temp_hrs_2]]*temp_wage</f>
        <v>25972.66168750537</v>
      </c>
      <c r="AA50" s="23">
        <f>carrot_sched[[#This Row],[q_2]]*carrot_crop_fert</f>
        <v>7480</v>
      </c>
      <c r="AB50" s="23">
        <f>carrot_sched[[#This Row],[labor_2]]+carrot_sched[[#This Row],[fert_2]]</f>
        <v>33452.661687505373</v>
      </c>
      <c r="AC50" s="23">
        <f>IF(carrot_sched[[#This Row],[q]]&lt;=1,"",carrot_sched[[#This Row],[vc_1]]-carrot_sched[[#This Row],[vc_2]])</f>
        <v>1589.1387909931072</v>
      </c>
    </row>
    <row r="51" spans="1:29" x14ac:dyDescent="0.2">
      <c r="A51" s="7">
        <v>20</v>
      </c>
      <c r="B51" s="23">
        <f>carrot_sched[[#This Row],[q]]*carrot_crop_hrswk*season_weeks*(1+carrot_crop_dim)^carrot_sched[[#This Row],[q]]</f>
        <v>983.16986417423732</v>
      </c>
      <c r="C51" s="23">
        <f>MIN(carrot_sched[[#This Row],[hrs]],farmer_hrs_field)</f>
        <v>720</v>
      </c>
      <c r="D51" s="23">
        <f>carrot_sched[[#This Row],[hrs]]-carrot_sched[[#This Row],[perm_hrs]]</f>
        <v>263.16986417423732</v>
      </c>
      <c r="E51" s="24">
        <f>carrot_sched[[#This Row],[perm_hrs]]*farmer_wage+carrot_sched[[#This Row],[temp_hrs]]*temp_wage</f>
        <v>29568.921253024953</v>
      </c>
      <c r="F51" s="24">
        <f>carrot_sched[[#This Row],[q]]*carrot_crop_fert</f>
        <v>8800</v>
      </c>
      <c r="G51" s="24">
        <f>carrot_sched[[#This Row],[labor]]+carrot_sched[[#This Row],[fert]]</f>
        <v>38368.92125302495</v>
      </c>
      <c r="H51" s="24">
        <f>carrot_sched[[#This Row],[vc]]+fixed_costs</f>
        <v>58368.92125302495</v>
      </c>
      <c r="I51" s="24">
        <f>IF(carrot_sched[[#This Row],[q]]=0,"",carrot_sched[[#This Row],[vc]]-carrot_sched[[#This Row],[vc_1]])</f>
        <v>1688.9454575384007</v>
      </c>
      <c r="J51" s="24">
        <f>IF(carrot_sched[[#This Row],[q]]=0,"",carrot_sched[[#This Row],[vc]]/carrot_sched[[#This Row],[q]])</f>
        <v>1918.4460626512475</v>
      </c>
      <c r="K51" s="24">
        <f>IF(carrot_sched[[#This Row],[q]]=0,"",carrot_sched[[#This Row],[tc]]/carrot_sched[[#This Row],[q]])</f>
        <v>2918.4460626512473</v>
      </c>
      <c r="L51" s="24">
        <f>carrot_crop_price</f>
        <v>2094</v>
      </c>
      <c r="M51" s="25">
        <f>IF(carrot_sched[[#This Row],[q]]=0,1,IF(carrot_sched[[#This Row],[mc]]&lt;=carrot_sched[[#This Row],[price]],1,0))</f>
        <v>1</v>
      </c>
      <c r="N51" s="25">
        <f>IF(carrot_sched[[#This Row],[q]]&lt;=1,"",IF(carrot_sched[[#This Row],[mc]]&lt;carrot_sched[[#This Row],[mc_1]],1,0))</f>
        <v>0</v>
      </c>
      <c r="O51" s="10">
        <f>MAX(carrot_sched[[#This Row],[q]]-1,0)</f>
        <v>19</v>
      </c>
      <c r="P51" s="23">
        <f>carrot_sched[[#This Row],[q_1]]*carrot_crop_hrswk*season_weeks*(1+carrot_crop_dim)^carrot_sched[[#This Row],[q_1]]</f>
        <v>911.23060582002495</v>
      </c>
      <c r="Q51" s="23">
        <f>MIN(carrot_sched[[#This Row],[hrs_1]],farmer_hrs_field)</f>
        <v>720</v>
      </c>
      <c r="R51" s="23">
        <f>carrot_sched[[#This Row],[hrs_1]]-carrot_sched[[#This Row],[perm_hrs_1]]</f>
        <v>191.23060582002495</v>
      </c>
      <c r="S51" s="23">
        <f>carrot_sched[[#This Row],[perm_hrs_1]]*farmer_wage+carrot_sched[[#This Row],[temp_hrs_1]]*temp_wage</f>
        <v>28319.975795486545</v>
      </c>
      <c r="T51" s="23">
        <f>carrot_sched[[#This Row],[q_1]]*carrot_crop_fert</f>
        <v>8360</v>
      </c>
      <c r="U51" s="23">
        <f>carrot_sched[[#This Row],[labor_1]]+carrot_sched[[#This Row],[fert_1]]</f>
        <v>36679.975795486549</v>
      </c>
      <c r="V51" s="23">
        <f>MAX(carrot_sched[[#This Row],[q]]-2,0)</f>
        <v>18</v>
      </c>
      <c r="W51" s="23">
        <f>carrot_sched[[#This Row],[q_2]]*carrot_crop_hrswk*season_weeks*(1+carrot_crop_dim)^carrot_sched[[#This Row],[q_2]]</f>
        <v>842.2157075615122</v>
      </c>
      <c r="X51" s="23">
        <f>MIN(carrot_sched[[#This Row],[hrs_2]],farmer_hrs_field)</f>
        <v>720</v>
      </c>
      <c r="Y51" s="23">
        <f>carrot_sched[[#This Row],[hrs_2]]-carrot_sched[[#This Row],[perm_hrs_2]]</f>
        <v>122.2157075615122</v>
      </c>
      <c r="Z51" s="23">
        <f>carrot_sched[[#This Row],[perm_hrs_2]]*farmer_wage+carrot_sched[[#This Row],[temp_hrs_2]]*temp_wage</f>
        <v>27121.800478498477</v>
      </c>
      <c r="AA51" s="23">
        <f>carrot_sched[[#This Row],[q_2]]*carrot_crop_fert</f>
        <v>7920</v>
      </c>
      <c r="AB51" s="23">
        <f>carrot_sched[[#This Row],[labor_2]]+carrot_sched[[#This Row],[fert_2]]</f>
        <v>35041.800478498481</v>
      </c>
      <c r="AC51" s="23">
        <f>IF(carrot_sched[[#This Row],[q]]&lt;=1,"",carrot_sched[[#This Row],[vc_1]]-carrot_sched[[#This Row],[vc_2]])</f>
        <v>1638.1753169880685</v>
      </c>
    </row>
    <row r="54" spans="1:29" x14ac:dyDescent="0.2">
      <c r="A54" s="4" t="s">
        <v>101</v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 spans="1:29" x14ac:dyDescent="0.2">
      <c r="A55" t="s">
        <v>70</v>
      </c>
      <c r="B55" t="s">
        <v>71</v>
      </c>
      <c r="C55" t="s">
        <v>72</v>
      </c>
      <c r="D55" t="s">
        <v>73</v>
      </c>
      <c r="E55" t="s">
        <v>74</v>
      </c>
      <c r="F55" t="s">
        <v>75</v>
      </c>
      <c r="G55" t="s">
        <v>76</v>
      </c>
      <c r="H55" t="s">
        <v>77</v>
      </c>
      <c r="I55" t="s">
        <v>78</v>
      </c>
      <c r="J55" t="s">
        <v>79</v>
      </c>
      <c r="K55" t="s">
        <v>80</v>
      </c>
      <c r="L55" t="s">
        <v>81</v>
      </c>
      <c r="M55" t="s">
        <v>82</v>
      </c>
      <c r="N55" t="s">
        <v>83</v>
      </c>
      <c r="O55" t="s">
        <v>84</v>
      </c>
      <c r="P55" t="s">
        <v>85</v>
      </c>
      <c r="Q55" t="s">
        <v>86</v>
      </c>
      <c r="R55" t="s">
        <v>87</v>
      </c>
      <c r="S55" t="s">
        <v>88</v>
      </c>
      <c r="T55" t="s">
        <v>89</v>
      </c>
      <c r="U55" t="s">
        <v>90</v>
      </c>
      <c r="V55" t="s">
        <v>91</v>
      </c>
      <c r="W55" t="s">
        <v>92</v>
      </c>
      <c r="X55" t="s">
        <v>93</v>
      </c>
      <c r="Y55" t="s">
        <v>94</v>
      </c>
      <c r="Z55" t="s">
        <v>95</v>
      </c>
      <c r="AA55" t="s">
        <v>96</v>
      </c>
      <c r="AB55" t="s">
        <v>97</v>
      </c>
      <c r="AC55" t="s">
        <v>98</v>
      </c>
    </row>
    <row r="56" spans="1:29" x14ac:dyDescent="0.2">
      <c r="A56" s="7">
        <v>0</v>
      </c>
      <c r="B56" s="23">
        <f>mesclun_sched[[#This Row],[q]]*mesclun_crop_hrswk*season_weeks*(1+mesclun_crop_dim)^mesclun_sched[[#This Row],[q]]</f>
        <v>0</v>
      </c>
      <c r="C56" s="23">
        <f>MIN(mesclun_sched[[#This Row],[hrs]],farmer_hrs_field)</f>
        <v>0</v>
      </c>
      <c r="D56" s="23">
        <f>mesclun_sched[[#This Row],[hrs]]-mesclun_sched[[#This Row],[perm_hrs]]</f>
        <v>0</v>
      </c>
      <c r="E56" s="24">
        <f>mesclun_sched[[#This Row],[perm_hrs]]*farmer_wage+mesclun_sched[[#This Row],[temp_hrs]]*temp_wage</f>
        <v>0</v>
      </c>
      <c r="F56" s="24">
        <f>mesclun_sched[[#This Row],[q]]*mesclun_crop_fert</f>
        <v>0</v>
      </c>
      <c r="G56" s="24">
        <f>mesclun_sched[[#This Row],[labor]]+mesclun_sched[[#This Row],[fert]]</f>
        <v>0</v>
      </c>
      <c r="H56" s="24">
        <f>mesclun_sched[[#This Row],[vc]]+fixed_costs</f>
        <v>20000</v>
      </c>
      <c r="I56" s="24" t="str">
        <f>IF(mesclun_sched[[#This Row],[q]]=0,"",mesclun_sched[[#This Row],[vc]]-mesclun_sched[[#This Row],[vc_1]])</f>
        <v/>
      </c>
      <c r="J56" s="24" t="str">
        <f>IF(mesclun_sched[[#This Row],[q]]=0,"",mesclun_sched[[#This Row],[vc]]/mesclun_sched[[#This Row],[q]])</f>
        <v/>
      </c>
      <c r="K56" s="24" t="str">
        <f>IF(mesclun_sched[[#This Row],[q]]=0,"",mesclun_sched[[#This Row],[tc]]/mesclun_sched[[#This Row],[q]])</f>
        <v/>
      </c>
      <c r="L56" s="24">
        <f>mesclun_crop_price</f>
        <v>2700</v>
      </c>
      <c r="M56" s="25">
        <f>IF(mesclun_sched[[#This Row],[q]]=0,1,IF(mesclun_sched[[#This Row],[mc]]&lt;=mesclun_sched[[#This Row],[price]],1,0))</f>
        <v>1</v>
      </c>
      <c r="N56" s="25" t="str">
        <f>IF(mesclun_sched[[#This Row],[q]]&lt;=1,"",IF(mesclun_sched[[#This Row],[mc]]&lt;mesclun_sched[[#This Row],[mc_1]],1,0))</f>
        <v/>
      </c>
      <c r="O56" s="10">
        <f>MAX(mesclun_sched[[#This Row],[q]]-1,0)</f>
        <v>0</v>
      </c>
      <c r="P56" s="23">
        <f>mesclun_sched[[#This Row],[q_1]]*mesclun_crop_hrswk*season_weeks*(1+mesclun_crop_dim)^mesclun_sched[[#This Row],[q_1]]</f>
        <v>0</v>
      </c>
      <c r="Q56" s="23">
        <f>MIN(mesclun_sched[[#This Row],[hrs_1]],farmer_hrs_field)</f>
        <v>0</v>
      </c>
      <c r="R56" s="23">
        <f>mesclun_sched[[#This Row],[hrs_1]]-mesclun_sched[[#This Row],[perm_hrs_1]]</f>
        <v>0</v>
      </c>
      <c r="S56" s="23">
        <f>mesclun_sched[[#This Row],[perm_hrs_1]]*farmer_wage+mesclun_sched[[#This Row],[temp_hrs_1]]*temp_wage</f>
        <v>0</v>
      </c>
      <c r="T56" s="23">
        <f>mesclun_sched[[#This Row],[q_1]]*mesclun_crop_fert</f>
        <v>0</v>
      </c>
      <c r="U56" s="23">
        <f>mesclun_sched[[#This Row],[labor_1]]+mesclun_sched[[#This Row],[fert_1]]</f>
        <v>0</v>
      </c>
      <c r="V56" s="23">
        <f>MAX(mesclun_sched[[#This Row],[q]]-2,0)</f>
        <v>0</v>
      </c>
      <c r="W56" s="23">
        <f>mesclun_sched[[#This Row],[q_2]]*mesclun_crop_hrswk*season_weeks*(1+mesclun_crop_dim)^mesclun_sched[[#This Row],[q_2]]</f>
        <v>0</v>
      </c>
      <c r="X56" s="23">
        <f>MIN(mesclun_sched[[#This Row],[hrs_2]],farmer_hrs_field)</f>
        <v>0</v>
      </c>
      <c r="Y56" s="23">
        <f>mesclun_sched[[#This Row],[hrs_2]]-mesclun_sched[[#This Row],[perm_hrs_2]]</f>
        <v>0</v>
      </c>
      <c r="Z56" s="23">
        <f>mesclun_sched[[#This Row],[perm_hrs_2]]*farmer_wage+mesclun_sched[[#This Row],[temp_hrs_2]]*temp_wage</f>
        <v>0</v>
      </c>
      <c r="AA56" s="23">
        <f>mesclun_sched[[#This Row],[q_2]]*mesclun_crop_fert</f>
        <v>0</v>
      </c>
      <c r="AB56" s="23">
        <f>mesclun_sched[[#This Row],[labor_2]]+mesclun_sched[[#This Row],[fert_2]]</f>
        <v>0</v>
      </c>
      <c r="AC56" s="23" t="str">
        <f>IF(mesclun_sched[[#This Row],[q]]&lt;=1,"",mesclun_sched[[#This Row],[vc_1]]-mesclun_sched[[#This Row],[vc_2]])</f>
        <v/>
      </c>
    </row>
    <row r="57" spans="1:29" x14ac:dyDescent="0.2">
      <c r="A57" s="7">
        <v>1</v>
      </c>
      <c r="B57" s="23">
        <f>mesclun_sched[[#This Row],[q]]*mesclun_crop_hrswk*season_weeks*(1+mesclun_crop_dim)^mesclun_sched[[#This Row],[q]]</f>
        <v>45.5625</v>
      </c>
      <c r="C57" s="23">
        <f>MIN(mesclun_sched[[#This Row],[hrs]],farmer_hrs_field)</f>
        <v>45.5625</v>
      </c>
      <c r="D57" s="23">
        <f>mesclun_sched[[#This Row],[hrs]]-mesclun_sched[[#This Row],[perm_hrs]]</f>
        <v>0</v>
      </c>
      <c r="E57" s="24">
        <f>mesclun_sched[[#This Row],[perm_hrs]]*farmer_wage+mesclun_sched[[#This Row],[temp_hrs]]*temp_wage</f>
        <v>1582.03125</v>
      </c>
      <c r="F57" s="24">
        <f>mesclun_sched[[#This Row],[q]]*mesclun_crop_fert</f>
        <v>880</v>
      </c>
      <c r="G57" s="24">
        <f>mesclun_sched[[#This Row],[labor]]+mesclun_sched[[#This Row],[fert]]</f>
        <v>2462.03125</v>
      </c>
      <c r="H57" s="24">
        <f>mesclun_sched[[#This Row],[vc]]+fixed_costs</f>
        <v>22462.03125</v>
      </c>
      <c r="I57" s="24">
        <f>IF(mesclun_sched[[#This Row],[q]]=0,"",mesclun_sched[[#This Row],[vc]]-mesclun_sched[[#This Row],[vc_1]])</f>
        <v>2462.03125</v>
      </c>
      <c r="J57" s="24">
        <f>IF(mesclun_sched[[#This Row],[q]]=0,"",mesclun_sched[[#This Row],[vc]]/mesclun_sched[[#This Row],[q]])</f>
        <v>2462.03125</v>
      </c>
      <c r="K57" s="24">
        <f>IF(mesclun_sched[[#This Row],[q]]=0,"",mesclun_sched[[#This Row],[tc]]/mesclun_sched[[#This Row],[q]])</f>
        <v>22462.03125</v>
      </c>
      <c r="L57" s="24">
        <f>mesclun_crop_price</f>
        <v>2700</v>
      </c>
      <c r="M57" s="25">
        <f>IF(mesclun_sched[[#This Row],[q]]=0,1,IF(mesclun_sched[[#This Row],[mc]]&lt;=mesclun_sched[[#This Row],[price]],1,0))</f>
        <v>1</v>
      </c>
      <c r="N57" s="25" t="str">
        <f>IF(mesclun_sched[[#This Row],[q]]&lt;=1,"",IF(mesclun_sched[[#This Row],[mc]]&lt;mesclun_sched[[#This Row],[mc_1]],1,0))</f>
        <v/>
      </c>
      <c r="O57" s="10">
        <f>MAX(mesclun_sched[[#This Row],[q]]-1,0)</f>
        <v>0</v>
      </c>
      <c r="P57" s="23">
        <f>mesclun_sched[[#This Row],[q_1]]*mesclun_crop_hrswk*season_weeks*(1+mesclun_crop_dim)^mesclun_sched[[#This Row],[q_1]]</f>
        <v>0</v>
      </c>
      <c r="Q57" s="23">
        <f>MIN(mesclun_sched[[#This Row],[hrs_1]],farmer_hrs_field)</f>
        <v>0</v>
      </c>
      <c r="R57" s="23">
        <f>mesclun_sched[[#This Row],[hrs_1]]-mesclun_sched[[#This Row],[perm_hrs_1]]</f>
        <v>0</v>
      </c>
      <c r="S57" s="23">
        <f>mesclun_sched[[#This Row],[perm_hrs_1]]*farmer_wage+mesclun_sched[[#This Row],[temp_hrs_1]]*temp_wage</f>
        <v>0</v>
      </c>
      <c r="T57" s="23">
        <f>mesclun_sched[[#This Row],[q_1]]*mesclun_crop_fert</f>
        <v>0</v>
      </c>
      <c r="U57" s="23">
        <f>mesclun_sched[[#This Row],[labor_1]]+mesclun_sched[[#This Row],[fert_1]]</f>
        <v>0</v>
      </c>
      <c r="V57" s="23">
        <f>MAX(mesclun_sched[[#This Row],[q]]-2,0)</f>
        <v>0</v>
      </c>
      <c r="W57" s="23">
        <f>mesclun_sched[[#This Row],[q_2]]*mesclun_crop_hrswk*season_weeks*(1+mesclun_crop_dim)^mesclun_sched[[#This Row],[q_2]]</f>
        <v>0</v>
      </c>
      <c r="X57" s="23">
        <f>MIN(mesclun_sched[[#This Row],[hrs_2]],farmer_hrs_field)</f>
        <v>0</v>
      </c>
      <c r="Y57" s="23">
        <f>mesclun_sched[[#This Row],[hrs_2]]-mesclun_sched[[#This Row],[perm_hrs_2]]</f>
        <v>0</v>
      </c>
      <c r="Z57" s="23">
        <f>mesclun_sched[[#This Row],[perm_hrs_2]]*farmer_wage+mesclun_sched[[#This Row],[temp_hrs_2]]*temp_wage</f>
        <v>0</v>
      </c>
      <c r="AA57" s="23">
        <f>mesclun_sched[[#This Row],[q_2]]*mesclun_crop_fert</f>
        <v>0</v>
      </c>
      <c r="AB57" s="23">
        <f>mesclun_sched[[#This Row],[labor_2]]+mesclun_sched[[#This Row],[fert_2]]</f>
        <v>0</v>
      </c>
      <c r="AC57" s="23" t="str">
        <f>IF(mesclun_sched[[#This Row],[q]]&lt;=1,"",mesclun_sched[[#This Row],[vc_1]]-mesclun_sched[[#This Row],[vc_2]])</f>
        <v/>
      </c>
    </row>
    <row r="58" spans="1:29" x14ac:dyDescent="0.2">
      <c r="A58" s="7">
        <v>2</v>
      </c>
      <c r="B58" s="23">
        <f>mesclun_sched[[#This Row],[q]]*mesclun_crop_hrswk*season_weeks*(1+mesclun_crop_dim)^mesclun_sched[[#This Row],[q]]</f>
        <v>92.264062499999994</v>
      </c>
      <c r="C58" s="23">
        <f>MIN(mesclun_sched[[#This Row],[hrs]],farmer_hrs_field)</f>
        <v>92.264062499999994</v>
      </c>
      <c r="D58" s="23">
        <f>mesclun_sched[[#This Row],[hrs]]-mesclun_sched[[#This Row],[perm_hrs]]</f>
        <v>0</v>
      </c>
      <c r="E58" s="24">
        <f>mesclun_sched[[#This Row],[perm_hrs]]*farmer_wage+mesclun_sched[[#This Row],[temp_hrs]]*temp_wage</f>
        <v>3203.6132812499995</v>
      </c>
      <c r="F58" s="24">
        <f>mesclun_sched[[#This Row],[q]]*mesclun_crop_fert</f>
        <v>1760</v>
      </c>
      <c r="G58" s="24">
        <f>mesclun_sched[[#This Row],[labor]]+mesclun_sched[[#This Row],[fert]]</f>
        <v>4963.61328125</v>
      </c>
      <c r="H58" s="24">
        <f>mesclun_sched[[#This Row],[vc]]+fixed_costs</f>
        <v>24963.61328125</v>
      </c>
      <c r="I58" s="24">
        <f>IF(mesclun_sched[[#This Row],[q]]=0,"",mesclun_sched[[#This Row],[vc]]-mesclun_sched[[#This Row],[vc_1]])</f>
        <v>2501.58203125</v>
      </c>
      <c r="J58" s="24">
        <f>IF(mesclun_sched[[#This Row],[q]]=0,"",mesclun_sched[[#This Row],[vc]]/mesclun_sched[[#This Row],[q]])</f>
        <v>2481.806640625</v>
      </c>
      <c r="K58" s="24">
        <f>IF(mesclun_sched[[#This Row],[q]]=0,"",mesclun_sched[[#This Row],[tc]]/mesclun_sched[[#This Row],[q]])</f>
        <v>12481.806640625</v>
      </c>
      <c r="L58" s="24">
        <f>mesclun_crop_price</f>
        <v>2700</v>
      </c>
      <c r="M58" s="25">
        <f>IF(mesclun_sched[[#This Row],[q]]=0,1,IF(mesclun_sched[[#This Row],[mc]]&lt;=mesclun_sched[[#This Row],[price]],1,0))</f>
        <v>1</v>
      </c>
      <c r="N58" s="25">
        <f>IF(mesclun_sched[[#This Row],[q]]&lt;=1,"",IF(mesclun_sched[[#This Row],[mc]]&lt;mesclun_sched[[#This Row],[mc_1]],1,0))</f>
        <v>0</v>
      </c>
      <c r="O58" s="10">
        <f>MAX(mesclun_sched[[#This Row],[q]]-1,0)</f>
        <v>1</v>
      </c>
      <c r="P58" s="23">
        <f>mesclun_sched[[#This Row],[q_1]]*mesclun_crop_hrswk*season_weeks*(1+mesclun_crop_dim)^mesclun_sched[[#This Row],[q_1]]</f>
        <v>45.5625</v>
      </c>
      <c r="Q58" s="23">
        <f>MIN(mesclun_sched[[#This Row],[hrs_1]],farmer_hrs_field)</f>
        <v>45.5625</v>
      </c>
      <c r="R58" s="23">
        <f>mesclun_sched[[#This Row],[hrs_1]]-mesclun_sched[[#This Row],[perm_hrs_1]]</f>
        <v>0</v>
      </c>
      <c r="S58" s="23">
        <f>mesclun_sched[[#This Row],[perm_hrs_1]]*farmer_wage+mesclun_sched[[#This Row],[temp_hrs_1]]*temp_wage</f>
        <v>1582.03125</v>
      </c>
      <c r="T58" s="23">
        <f>mesclun_sched[[#This Row],[q_1]]*mesclun_crop_fert</f>
        <v>880</v>
      </c>
      <c r="U58" s="23">
        <f>mesclun_sched[[#This Row],[labor_1]]+mesclun_sched[[#This Row],[fert_1]]</f>
        <v>2462.03125</v>
      </c>
      <c r="V58" s="23">
        <f>MAX(mesclun_sched[[#This Row],[q]]-2,0)</f>
        <v>0</v>
      </c>
      <c r="W58" s="23">
        <f>mesclun_sched[[#This Row],[q_2]]*mesclun_crop_hrswk*season_weeks*(1+mesclun_crop_dim)^mesclun_sched[[#This Row],[q_2]]</f>
        <v>0</v>
      </c>
      <c r="X58" s="23">
        <f>MIN(mesclun_sched[[#This Row],[hrs_2]],farmer_hrs_field)</f>
        <v>0</v>
      </c>
      <c r="Y58" s="23">
        <f>mesclun_sched[[#This Row],[hrs_2]]-mesclun_sched[[#This Row],[perm_hrs_2]]</f>
        <v>0</v>
      </c>
      <c r="Z58" s="23">
        <f>mesclun_sched[[#This Row],[perm_hrs_2]]*farmer_wage+mesclun_sched[[#This Row],[temp_hrs_2]]*temp_wage</f>
        <v>0</v>
      </c>
      <c r="AA58" s="23">
        <f>mesclun_sched[[#This Row],[q_2]]*mesclun_crop_fert</f>
        <v>0</v>
      </c>
      <c r="AB58" s="23">
        <f>mesclun_sched[[#This Row],[labor_2]]+mesclun_sched[[#This Row],[fert_2]]</f>
        <v>0</v>
      </c>
      <c r="AC58" s="23">
        <f>IF(mesclun_sched[[#This Row],[q]]&lt;=1,"",mesclun_sched[[#This Row],[vc_1]]-mesclun_sched[[#This Row],[vc_2]])</f>
        <v>2462.03125</v>
      </c>
    </row>
    <row r="59" spans="1:29" x14ac:dyDescent="0.2">
      <c r="A59" s="7">
        <v>3</v>
      </c>
      <c r="B59" s="23">
        <f>mesclun_sched[[#This Row],[q]]*mesclun_crop_hrswk*season_weeks*(1+mesclun_crop_dim)^mesclun_sched[[#This Row],[q]]</f>
        <v>140.12604492187498</v>
      </c>
      <c r="C59" s="23">
        <f>MIN(mesclun_sched[[#This Row],[hrs]],farmer_hrs_field)</f>
        <v>140.12604492187498</v>
      </c>
      <c r="D59" s="23">
        <f>mesclun_sched[[#This Row],[hrs]]-mesclun_sched[[#This Row],[perm_hrs]]</f>
        <v>0</v>
      </c>
      <c r="E59" s="24">
        <f>mesclun_sched[[#This Row],[perm_hrs]]*farmer_wage+mesclun_sched[[#This Row],[temp_hrs]]*temp_wage</f>
        <v>4865.4876708984366</v>
      </c>
      <c r="F59" s="24">
        <f>mesclun_sched[[#This Row],[q]]*mesclun_crop_fert</f>
        <v>2640</v>
      </c>
      <c r="G59" s="24">
        <f>mesclun_sched[[#This Row],[labor]]+mesclun_sched[[#This Row],[fert]]</f>
        <v>7505.4876708984366</v>
      </c>
      <c r="H59" s="24">
        <f>mesclun_sched[[#This Row],[vc]]+fixed_costs</f>
        <v>27505.487670898438</v>
      </c>
      <c r="I59" s="24">
        <f>IF(mesclun_sched[[#This Row],[q]]=0,"",mesclun_sched[[#This Row],[vc]]-mesclun_sched[[#This Row],[vc_1]])</f>
        <v>2541.8743896484366</v>
      </c>
      <c r="J59" s="24">
        <f>IF(mesclun_sched[[#This Row],[q]]=0,"",mesclun_sched[[#This Row],[vc]]/mesclun_sched[[#This Row],[q]])</f>
        <v>2501.829223632812</v>
      </c>
      <c r="K59" s="24">
        <f>IF(mesclun_sched[[#This Row],[q]]=0,"",mesclun_sched[[#This Row],[tc]]/mesclun_sched[[#This Row],[q]])</f>
        <v>9168.4958902994786</v>
      </c>
      <c r="L59" s="24">
        <f>mesclun_crop_price</f>
        <v>2700</v>
      </c>
      <c r="M59" s="25">
        <f>IF(mesclun_sched[[#This Row],[q]]=0,1,IF(mesclun_sched[[#This Row],[mc]]&lt;=mesclun_sched[[#This Row],[price]],1,0))</f>
        <v>1</v>
      </c>
      <c r="N59" s="25">
        <f>IF(mesclun_sched[[#This Row],[q]]&lt;=1,"",IF(mesclun_sched[[#This Row],[mc]]&lt;mesclun_sched[[#This Row],[mc_1]],1,0))</f>
        <v>0</v>
      </c>
      <c r="O59" s="10">
        <f>MAX(mesclun_sched[[#This Row],[q]]-1,0)</f>
        <v>2</v>
      </c>
      <c r="P59" s="23">
        <f>mesclun_sched[[#This Row],[q_1]]*mesclun_crop_hrswk*season_weeks*(1+mesclun_crop_dim)^mesclun_sched[[#This Row],[q_1]]</f>
        <v>92.264062499999994</v>
      </c>
      <c r="Q59" s="23">
        <f>MIN(mesclun_sched[[#This Row],[hrs_1]],farmer_hrs_field)</f>
        <v>92.264062499999994</v>
      </c>
      <c r="R59" s="23">
        <f>mesclun_sched[[#This Row],[hrs_1]]-mesclun_sched[[#This Row],[perm_hrs_1]]</f>
        <v>0</v>
      </c>
      <c r="S59" s="23">
        <f>mesclun_sched[[#This Row],[perm_hrs_1]]*farmer_wage+mesclun_sched[[#This Row],[temp_hrs_1]]*temp_wage</f>
        <v>3203.6132812499995</v>
      </c>
      <c r="T59" s="23">
        <f>mesclun_sched[[#This Row],[q_1]]*mesclun_crop_fert</f>
        <v>1760</v>
      </c>
      <c r="U59" s="23">
        <f>mesclun_sched[[#This Row],[labor_1]]+mesclun_sched[[#This Row],[fert_1]]</f>
        <v>4963.61328125</v>
      </c>
      <c r="V59" s="23">
        <f>MAX(mesclun_sched[[#This Row],[q]]-2,0)</f>
        <v>1</v>
      </c>
      <c r="W59" s="23">
        <f>mesclun_sched[[#This Row],[q_2]]*mesclun_crop_hrswk*season_weeks*(1+mesclun_crop_dim)^mesclun_sched[[#This Row],[q_2]]</f>
        <v>45.5625</v>
      </c>
      <c r="X59" s="23">
        <f>MIN(mesclun_sched[[#This Row],[hrs_2]],farmer_hrs_field)</f>
        <v>45.5625</v>
      </c>
      <c r="Y59" s="23">
        <f>mesclun_sched[[#This Row],[hrs_2]]-mesclun_sched[[#This Row],[perm_hrs_2]]</f>
        <v>0</v>
      </c>
      <c r="Z59" s="23">
        <f>mesclun_sched[[#This Row],[perm_hrs_2]]*farmer_wage+mesclun_sched[[#This Row],[temp_hrs_2]]*temp_wage</f>
        <v>1582.03125</v>
      </c>
      <c r="AA59" s="23">
        <f>mesclun_sched[[#This Row],[q_2]]*mesclun_crop_fert</f>
        <v>880</v>
      </c>
      <c r="AB59" s="23">
        <f>mesclun_sched[[#This Row],[labor_2]]+mesclun_sched[[#This Row],[fert_2]]</f>
        <v>2462.03125</v>
      </c>
      <c r="AC59" s="23">
        <f>IF(mesclun_sched[[#This Row],[q]]&lt;=1,"",mesclun_sched[[#This Row],[vc_1]]-mesclun_sched[[#This Row],[vc_2]])</f>
        <v>2501.58203125</v>
      </c>
    </row>
    <row r="60" spans="1:29" x14ac:dyDescent="0.2">
      <c r="A60" s="7">
        <v>4</v>
      </c>
      <c r="B60" s="23">
        <f>mesclun_sched[[#This Row],[q]]*mesclun_crop_hrswk*season_weeks*(1+mesclun_crop_dim)^mesclun_sched[[#This Row],[q]]</f>
        <v>189.17016064453125</v>
      </c>
      <c r="C60" s="23">
        <f>MIN(mesclun_sched[[#This Row],[hrs]],farmer_hrs_field)</f>
        <v>189.17016064453125</v>
      </c>
      <c r="D60" s="23">
        <f>mesclun_sched[[#This Row],[hrs]]-mesclun_sched[[#This Row],[perm_hrs]]</f>
        <v>0</v>
      </c>
      <c r="E60" s="24">
        <f>mesclun_sched[[#This Row],[perm_hrs]]*farmer_wage+mesclun_sched[[#This Row],[temp_hrs]]*temp_wage</f>
        <v>6568.4083557128906</v>
      </c>
      <c r="F60" s="24">
        <f>mesclun_sched[[#This Row],[q]]*mesclun_crop_fert</f>
        <v>3520</v>
      </c>
      <c r="G60" s="24">
        <f>mesclun_sched[[#This Row],[labor]]+mesclun_sched[[#This Row],[fert]]</f>
        <v>10088.408355712891</v>
      </c>
      <c r="H60" s="24">
        <f>mesclun_sched[[#This Row],[vc]]+fixed_costs</f>
        <v>30088.408355712891</v>
      </c>
      <c r="I60" s="24">
        <f>IF(mesclun_sched[[#This Row],[q]]=0,"",mesclun_sched[[#This Row],[vc]]-mesclun_sched[[#This Row],[vc_1]])</f>
        <v>2582.920684814454</v>
      </c>
      <c r="J60" s="24">
        <f>IF(mesclun_sched[[#This Row],[q]]=0,"",mesclun_sched[[#This Row],[vc]]/mesclun_sched[[#This Row],[q]])</f>
        <v>2522.1020889282227</v>
      </c>
      <c r="K60" s="24">
        <f>IF(mesclun_sched[[#This Row],[q]]=0,"",mesclun_sched[[#This Row],[tc]]/mesclun_sched[[#This Row],[q]])</f>
        <v>7522.1020889282227</v>
      </c>
      <c r="L60" s="24">
        <f>mesclun_crop_price</f>
        <v>2700</v>
      </c>
      <c r="M60" s="25">
        <f>IF(mesclun_sched[[#This Row],[q]]=0,1,IF(mesclun_sched[[#This Row],[mc]]&lt;=mesclun_sched[[#This Row],[price]],1,0))</f>
        <v>1</v>
      </c>
      <c r="N60" s="25">
        <f>IF(mesclun_sched[[#This Row],[q]]&lt;=1,"",IF(mesclun_sched[[#This Row],[mc]]&lt;mesclun_sched[[#This Row],[mc_1]],1,0))</f>
        <v>0</v>
      </c>
      <c r="O60" s="10">
        <f>MAX(mesclun_sched[[#This Row],[q]]-1,0)</f>
        <v>3</v>
      </c>
      <c r="P60" s="23">
        <f>mesclun_sched[[#This Row],[q_1]]*mesclun_crop_hrswk*season_weeks*(1+mesclun_crop_dim)^mesclun_sched[[#This Row],[q_1]]</f>
        <v>140.12604492187498</v>
      </c>
      <c r="Q60" s="23">
        <f>MIN(mesclun_sched[[#This Row],[hrs_1]],farmer_hrs_field)</f>
        <v>140.12604492187498</v>
      </c>
      <c r="R60" s="23">
        <f>mesclun_sched[[#This Row],[hrs_1]]-mesclun_sched[[#This Row],[perm_hrs_1]]</f>
        <v>0</v>
      </c>
      <c r="S60" s="23">
        <f>mesclun_sched[[#This Row],[perm_hrs_1]]*farmer_wage+mesclun_sched[[#This Row],[temp_hrs_1]]*temp_wage</f>
        <v>4865.4876708984366</v>
      </c>
      <c r="T60" s="23">
        <f>mesclun_sched[[#This Row],[q_1]]*mesclun_crop_fert</f>
        <v>2640</v>
      </c>
      <c r="U60" s="23">
        <f>mesclun_sched[[#This Row],[labor_1]]+mesclun_sched[[#This Row],[fert_1]]</f>
        <v>7505.4876708984366</v>
      </c>
      <c r="V60" s="23">
        <f>MAX(mesclun_sched[[#This Row],[q]]-2,0)</f>
        <v>2</v>
      </c>
      <c r="W60" s="23">
        <f>mesclun_sched[[#This Row],[q_2]]*mesclun_crop_hrswk*season_weeks*(1+mesclun_crop_dim)^mesclun_sched[[#This Row],[q_2]]</f>
        <v>92.264062499999994</v>
      </c>
      <c r="X60" s="23">
        <f>MIN(mesclun_sched[[#This Row],[hrs_2]],farmer_hrs_field)</f>
        <v>92.264062499999994</v>
      </c>
      <c r="Y60" s="23">
        <f>mesclun_sched[[#This Row],[hrs_2]]-mesclun_sched[[#This Row],[perm_hrs_2]]</f>
        <v>0</v>
      </c>
      <c r="Z60" s="23">
        <f>mesclun_sched[[#This Row],[perm_hrs_2]]*farmer_wage+mesclun_sched[[#This Row],[temp_hrs_2]]*temp_wage</f>
        <v>3203.6132812499995</v>
      </c>
      <c r="AA60" s="23">
        <f>mesclun_sched[[#This Row],[q_2]]*mesclun_crop_fert</f>
        <v>1760</v>
      </c>
      <c r="AB60" s="23">
        <f>mesclun_sched[[#This Row],[labor_2]]+mesclun_sched[[#This Row],[fert_2]]</f>
        <v>4963.61328125</v>
      </c>
      <c r="AC60" s="23">
        <f>IF(mesclun_sched[[#This Row],[q]]&lt;=1,"",mesclun_sched[[#This Row],[vc_1]]-mesclun_sched[[#This Row],[vc_2]])</f>
        <v>2541.8743896484366</v>
      </c>
    </row>
    <row r="61" spans="1:29" x14ac:dyDescent="0.2">
      <c r="A61" s="7">
        <v>5</v>
      </c>
      <c r="B61" s="23">
        <f>mesclun_sched[[#This Row],[q]]*mesclun_crop_hrswk*season_weeks*(1+mesclun_crop_dim)^mesclun_sched[[#This Row],[q]]</f>
        <v>239.41848456573481</v>
      </c>
      <c r="C61" s="23">
        <f>MIN(mesclun_sched[[#This Row],[hrs]],farmer_hrs_field)</f>
        <v>239.41848456573481</v>
      </c>
      <c r="D61" s="23">
        <f>mesclun_sched[[#This Row],[hrs]]-mesclun_sched[[#This Row],[perm_hrs]]</f>
        <v>0</v>
      </c>
      <c r="E61" s="24">
        <f>mesclun_sched[[#This Row],[perm_hrs]]*farmer_wage+mesclun_sched[[#This Row],[temp_hrs]]*temp_wage</f>
        <v>8313.1418251991254</v>
      </c>
      <c r="F61" s="24">
        <f>mesclun_sched[[#This Row],[q]]*mesclun_crop_fert</f>
        <v>4400</v>
      </c>
      <c r="G61" s="24">
        <f>mesclun_sched[[#This Row],[labor]]+mesclun_sched[[#This Row],[fert]]</f>
        <v>12713.141825199125</v>
      </c>
      <c r="H61" s="24">
        <f>mesclun_sched[[#This Row],[vc]]+fixed_costs</f>
        <v>32713.141825199127</v>
      </c>
      <c r="I61" s="24">
        <f>IF(mesclun_sched[[#This Row],[q]]=0,"",mesclun_sched[[#This Row],[vc]]-mesclun_sched[[#This Row],[vc_1]])</f>
        <v>2624.7334694862348</v>
      </c>
      <c r="J61" s="24">
        <f>IF(mesclun_sched[[#This Row],[q]]=0,"",mesclun_sched[[#This Row],[vc]]/mesclun_sched[[#This Row],[q]])</f>
        <v>2542.628365039825</v>
      </c>
      <c r="K61" s="24">
        <f>IF(mesclun_sched[[#This Row],[q]]=0,"",mesclun_sched[[#This Row],[tc]]/mesclun_sched[[#This Row],[q]])</f>
        <v>6542.6283650398254</v>
      </c>
      <c r="L61" s="24">
        <f>mesclun_crop_price</f>
        <v>2700</v>
      </c>
      <c r="M61" s="25">
        <f>IF(mesclun_sched[[#This Row],[q]]=0,1,IF(mesclun_sched[[#This Row],[mc]]&lt;=mesclun_sched[[#This Row],[price]],1,0))</f>
        <v>1</v>
      </c>
      <c r="N61" s="25">
        <f>IF(mesclun_sched[[#This Row],[q]]&lt;=1,"",IF(mesclun_sched[[#This Row],[mc]]&lt;mesclun_sched[[#This Row],[mc_1]],1,0))</f>
        <v>0</v>
      </c>
      <c r="O61" s="10">
        <f>MAX(mesclun_sched[[#This Row],[q]]-1,0)</f>
        <v>4</v>
      </c>
      <c r="P61" s="23">
        <f>mesclun_sched[[#This Row],[q_1]]*mesclun_crop_hrswk*season_weeks*(1+mesclun_crop_dim)^mesclun_sched[[#This Row],[q_1]]</f>
        <v>189.17016064453125</v>
      </c>
      <c r="Q61" s="23">
        <f>MIN(mesclun_sched[[#This Row],[hrs_1]],farmer_hrs_field)</f>
        <v>189.17016064453125</v>
      </c>
      <c r="R61" s="23">
        <f>mesclun_sched[[#This Row],[hrs_1]]-mesclun_sched[[#This Row],[perm_hrs_1]]</f>
        <v>0</v>
      </c>
      <c r="S61" s="23">
        <f>mesclun_sched[[#This Row],[perm_hrs_1]]*farmer_wage+mesclun_sched[[#This Row],[temp_hrs_1]]*temp_wage</f>
        <v>6568.4083557128906</v>
      </c>
      <c r="T61" s="23">
        <f>mesclun_sched[[#This Row],[q_1]]*mesclun_crop_fert</f>
        <v>3520</v>
      </c>
      <c r="U61" s="23">
        <f>mesclun_sched[[#This Row],[labor_1]]+mesclun_sched[[#This Row],[fert_1]]</f>
        <v>10088.408355712891</v>
      </c>
      <c r="V61" s="23">
        <f>MAX(mesclun_sched[[#This Row],[q]]-2,0)</f>
        <v>3</v>
      </c>
      <c r="W61" s="23">
        <f>mesclun_sched[[#This Row],[q_2]]*mesclun_crop_hrswk*season_weeks*(1+mesclun_crop_dim)^mesclun_sched[[#This Row],[q_2]]</f>
        <v>140.12604492187498</v>
      </c>
      <c r="X61" s="23">
        <f>MIN(mesclun_sched[[#This Row],[hrs_2]],farmer_hrs_field)</f>
        <v>140.12604492187498</v>
      </c>
      <c r="Y61" s="23">
        <f>mesclun_sched[[#This Row],[hrs_2]]-mesclun_sched[[#This Row],[perm_hrs_2]]</f>
        <v>0</v>
      </c>
      <c r="Z61" s="23">
        <f>mesclun_sched[[#This Row],[perm_hrs_2]]*farmer_wage+mesclun_sched[[#This Row],[temp_hrs_2]]*temp_wage</f>
        <v>4865.4876708984366</v>
      </c>
      <c r="AA61" s="23">
        <f>mesclun_sched[[#This Row],[q_2]]*mesclun_crop_fert</f>
        <v>2640</v>
      </c>
      <c r="AB61" s="23">
        <f>mesclun_sched[[#This Row],[labor_2]]+mesclun_sched[[#This Row],[fert_2]]</f>
        <v>7505.4876708984366</v>
      </c>
      <c r="AC61" s="23">
        <f>IF(mesclun_sched[[#This Row],[q]]&lt;=1,"",mesclun_sched[[#This Row],[vc_1]]-mesclun_sched[[#This Row],[vc_2]])</f>
        <v>2582.920684814454</v>
      </c>
    </row>
    <row r="62" spans="1:29" x14ac:dyDescent="0.2">
      <c r="A62" s="7">
        <v>6</v>
      </c>
      <c r="B62" s="23">
        <f>mesclun_sched[[#This Row],[q]]*mesclun_crop_hrswk*season_weeks*(1+mesclun_crop_dim)^mesclun_sched[[#This Row],[q]]</f>
        <v>290.89345874736784</v>
      </c>
      <c r="C62" s="23">
        <f>MIN(mesclun_sched[[#This Row],[hrs]],farmer_hrs_field)</f>
        <v>290.89345874736784</v>
      </c>
      <c r="D62" s="23">
        <f>mesclun_sched[[#This Row],[hrs]]-mesclun_sched[[#This Row],[perm_hrs]]</f>
        <v>0</v>
      </c>
      <c r="E62" s="24">
        <f>mesclun_sched[[#This Row],[perm_hrs]]*farmer_wage+mesclun_sched[[#This Row],[temp_hrs]]*temp_wage</f>
        <v>10100.467317616938</v>
      </c>
      <c r="F62" s="24">
        <f>mesclun_sched[[#This Row],[q]]*mesclun_crop_fert</f>
        <v>5280</v>
      </c>
      <c r="G62" s="24">
        <f>mesclun_sched[[#This Row],[labor]]+mesclun_sched[[#This Row],[fert]]</f>
        <v>15380.467317616938</v>
      </c>
      <c r="H62" s="24">
        <f>mesclun_sched[[#This Row],[vc]]+fixed_costs</f>
        <v>35380.467317616938</v>
      </c>
      <c r="I62" s="24">
        <f>IF(mesclun_sched[[#This Row],[q]]=0,"",mesclun_sched[[#This Row],[vc]]-mesclun_sched[[#This Row],[vc_1]])</f>
        <v>2667.3254924178127</v>
      </c>
      <c r="J62" s="24">
        <f>IF(mesclun_sched[[#This Row],[q]]=0,"",mesclun_sched[[#This Row],[vc]]/mesclun_sched[[#This Row],[q]])</f>
        <v>2563.4112196028232</v>
      </c>
      <c r="K62" s="24">
        <f>IF(mesclun_sched[[#This Row],[q]]=0,"",mesclun_sched[[#This Row],[tc]]/mesclun_sched[[#This Row],[q]])</f>
        <v>5896.7445529361567</v>
      </c>
      <c r="L62" s="24">
        <f>mesclun_crop_price</f>
        <v>2700</v>
      </c>
      <c r="M62" s="25">
        <f>IF(mesclun_sched[[#This Row],[q]]=0,1,IF(mesclun_sched[[#This Row],[mc]]&lt;=mesclun_sched[[#This Row],[price]],1,0))</f>
        <v>1</v>
      </c>
      <c r="N62" s="25">
        <f>IF(mesclun_sched[[#This Row],[q]]&lt;=1,"",IF(mesclun_sched[[#This Row],[mc]]&lt;mesclun_sched[[#This Row],[mc_1]],1,0))</f>
        <v>0</v>
      </c>
      <c r="O62" s="10">
        <f>MAX(mesclun_sched[[#This Row],[q]]-1,0)</f>
        <v>5</v>
      </c>
      <c r="P62" s="23">
        <f>mesclun_sched[[#This Row],[q_1]]*mesclun_crop_hrswk*season_weeks*(1+mesclun_crop_dim)^mesclun_sched[[#This Row],[q_1]]</f>
        <v>239.41848456573481</v>
      </c>
      <c r="Q62" s="23">
        <f>MIN(mesclun_sched[[#This Row],[hrs_1]],farmer_hrs_field)</f>
        <v>239.41848456573481</v>
      </c>
      <c r="R62" s="23">
        <f>mesclun_sched[[#This Row],[hrs_1]]-mesclun_sched[[#This Row],[perm_hrs_1]]</f>
        <v>0</v>
      </c>
      <c r="S62" s="23">
        <f>mesclun_sched[[#This Row],[perm_hrs_1]]*farmer_wage+mesclun_sched[[#This Row],[temp_hrs_1]]*temp_wage</f>
        <v>8313.1418251991254</v>
      </c>
      <c r="T62" s="23">
        <f>mesclun_sched[[#This Row],[q_1]]*mesclun_crop_fert</f>
        <v>4400</v>
      </c>
      <c r="U62" s="23">
        <f>mesclun_sched[[#This Row],[labor_1]]+mesclun_sched[[#This Row],[fert_1]]</f>
        <v>12713.141825199125</v>
      </c>
      <c r="V62" s="23">
        <f>MAX(mesclun_sched[[#This Row],[q]]-2,0)</f>
        <v>4</v>
      </c>
      <c r="W62" s="23">
        <f>mesclun_sched[[#This Row],[q_2]]*mesclun_crop_hrswk*season_weeks*(1+mesclun_crop_dim)^mesclun_sched[[#This Row],[q_2]]</f>
        <v>189.17016064453125</v>
      </c>
      <c r="X62" s="23">
        <f>MIN(mesclun_sched[[#This Row],[hrs_2]],farmer_hrs_field)</f>
        <v>189.17016064453125</v>
      </c>
      <c r="Y62" s="23">
        <f>mesclun_sched[[#This Row],[hrs_2]]-mesclun_sched[[#This Row],[perm_hrs_2]]</f>
        <v>0</v>
      </c>
      <c r="Z62" s="23">
        <f>mesclun_sched[[#This Row],[perm_hrs_2]]*farmer_wage+mesclun_sched[[#This Row],[temp_hrs_2]]*temp_wage</f>
        <v>6568.4083557128906</v>
      </c>
      <c r="AA62" s="23">
        <f>mesclun_sched[[#This Row],[q_2]]*mesclun_crop_fert</f>
        <v>3520</v>
      </c>
      <c r="AB62" s="23">
        <f>mesclun_sched[[#This Row],[labor_2]]+mesclun_sched[[#This Row],[fert_2]]</f>
        <v>10088.408355712891</v>
      </c>
      <c r="AC62" s="23">
        <f>IF(mesclun_sched[[#This Row],[q]]&lt;=1,"",mesclun_sched[[#This Row],[vc_1]]-mesclun_sched[[#This Row],[vc_2]])</f>
        <v>2624.7334694862348</v>
      </c>
    </row>
    <row r="63" spans="1:29" x14ac:dyDescent="0.2">
      <c r="A63" s="7">
        <v>7</v>
      </c>
      <c r="B63" s="23">
        <f>mesclun_sched[[#This Row],[q]]*mesclun_crop_hrswk*season_weeks*(1+mesclun_crop_dim)^mesclun_sched[[#This Row],[q]]</f>
        <v>343.61789814532818</v>
      </c>
      <c r="C63" s="23">
        <f>MIN(mesclun_sched[[#This Row],[hrs]],farmer_hrs_field)</f>
        <v>343.61789814532818</v>
      </c>
      <c r="D63" s="23">
        <f>mesclun_sched[[#This Row],[hrs]]-mesclun_sched[[#This Row],[perm_hrs]]</f>
        <v>0</v>
      </c>
      <c r="E63" s="24">
        <f>mesclun_sched[[#This Row],[perm_hrs]]*farmer_wage+mesclun_sched[[#This Row],[temp_hrs]]*temp_wage</f>
        <v>11931.177018935006</v>
      </c>
      <c r="F63" s="24">
        <f>mesclun_sched[[#This Row],[q]]*mesclun_crop_fert</f>
        <v>6160</v>
      </c>
      <c r="G63" s="24">
        <f>mesclun_sched[[#This Row],[labor]]+mesclun_sched[[#This Row],[fert]]</f>
        <v>18091.177018935006</v>
      </c>
      <c r="H63" s="24">
        <f>mesclun_sched[[#This Row],[vc]]+fixed_costs</f>
        <v>38091.177018935006</v>
      </c>
      <c r="I63" s="24">
        <f>IF(mesclun_sched[[#This Row],[q]]=0,"",mesclun_sched[[#This Row],[vc]]-mesclun_sched[[#This Row],[vc_1]])</f>
        <v>2710.7097013180683</v>
      </c>
      <c r="J63" s="24">
        <f>IF(mesclun_sched[[#This Row],[q]]=0,"",mesclun_sched[[#This Row],[vc]]/mesclun_sched[[#This Row],[q]])</f>
        <v>2584.453859847858</v>
      </c>
      <c r="K63" s="24">
        <f>IF(mesclun_sched[[#This Row],[q]]=0,"",mesclun_sched[[#This Row],[tc]]/mesclun_sched[[#This Row],[q]])</f>
        <v>5441.5967169907153</v>
      </c>
      <c r="L63" s="24">
        <f>mesclun_crop_price</f>
        <v>2700</v>
      </c>
      <c r="M63" s="25">
        <f>IF(mesclun_sched[[#This Row],[q]]=0,1,IF(mesclun_sched[[#This Row],[mc]]&lt;=mesclun_sched[[#This Row],[price]],1,0))</f>
        <v>0</v>
      </c>
      <c r="N63" s="25">
        <f>IF(mesclun_sched[[#This Row],[q]]&lt;=1,"",IF(mesclun_sched[[#This Row],[mc]]&lt;mesclun_sched[[#This Row],[mc_1]],1,0))</f>
        <v>0</v>
      </c>
      <c r="O63" s="10">
        <f>MAX(mesclun_sched[[#This Row],[q]]-1,0)</f>
        <v>6</v>
      </c>
      <c r="P63" s="23">
        <f>mesclun_sched[[#This Row],[q_1]]*mesclun_crop_hrswk*season_weeks*(1+mesclun_crop_dim)^mesclun_sched[[#This Row],[q_1]]</f>
        <v>290.89345874736784</v>
      </c>
      <c r="Q63" s="23">
        <f>MIN(mesclun_sched[[#This Row],[hrs_1]],farmer_hrs_field)</f>
        <v>290.89345874736784</v>
      </c>
      <c r="R63" s="23">
        <f>mesclun_sched[[#This Row],[hrs_1]]-mesclun_sched[[#This Row],[perm_hrs_1]]</f>
        <v>0</v>
      </c>
      <c r="S63" s="23">
        <f>mesclun_sched[[#This Row],[perm_hrs_1]]*farmer_wage+mesclun_sched[[#This Row],[temp_hrs_1]]*temp_wage</f>
        <v>10100.467317616938</v>
      </c>
      <c r="T63" s="23">
        <f>mesclun_sched[[#This Row],[q_1]]*mesclun_crop_fert</f>
        <v>5280</v>
      </c>
      <c r="U63" s="23">
        <f>mesclun_sched[[#This Row],[labor_1]]+mesclun_sched[[#This Row],[fert_1]]</f>
        <v>15380.467317616938</v>
      </c>
      <c r="V63" s="23">
        <f>MAX(mesclun_sched[[#This Row],[q]]-2,0)</f>
        <v>5</v>
      </c>
      <c r="W63" s="23">
        <f>mesclun_sched[[#This Row],[q_2]]*mesclun_crop_hrswk*season_weeks*(1+mesclun_crop_dim)^mesclun_sched[[#This Row],[q_2]]</f>
        <v>239.41848456573481</v>
      </c>
      <c r="X63" s="23">
        <f>MIN(mesclun_sched[[#This Row],[hrs_2]],farmer_hrs_field)</f>
        <v>239.41848456573481</v>
      </c>
      <c r="Y63" s="23">
        <f>mesclun_sched[[#This Row],[hrs_2]]-mesclun_sched[[#This Row],[perm_hrs_2]]</f>
        <v>0</v>
      </c>
      <c r="Z63" s="23">
        <f>mesclun_sched[[#This Row],[perm_hrs_2]]*farmer_wage+mesclun_sched[[#This Row],[temp_hrs_2]]*temp_wage</f>
        <v>8313.1418251991254</v>
      </c>
      <c r="AA63" s="23">
        <f>mesclun_sched[[#This Row],[q_2]]*mesclun_crop_fert</f>
        <v>4400</v>
      </c>
      <c r="AB63" s="23">
        <f>mesclun_sched[[#This Row],[labor_2]]+mesclun_sched[[#This Row],[fert_2]]</f>
        <v>12713.141825199125</v>
      </c>
      <c r="AC63" s="23">
        <f>IF(mesclun_sched[[#This Row],[q]]&lt;=1,"",mesclun_sched[[#This Row],[vc_1]]-mesclun_sched[[#This Row],[vc_2]])</f>
        <v>2667.3254924178127</v>
      </c>
    </row>
    <row r="64" spans="1:29" x14ac:dyDescent="0.2">
      <c r="A64" s="7">
        <v>8</v>
      </c>
      <c r="B64" s="23">
        <f>mesclun_sched[[#This Row],[q]]*mesclun_crop_hrswk*season_weeks*(1+mesclun_crop_dim)^mesclun_sched[[#This Row],[q]]</f>
        <v>397.61499642530839</v>
      </c>
      <c r="C64" s="23">
        <f>MIN(mesclun_sched[[#This Row],[hrs]],farmer_hrs_field)</f>
        <v>397.61499642530839</v>
      </c>
      <c r="D64" s="23">
        <f>mesclun_sched[[#This Row],[hrs]]-mesclun_sched[[#This Row],[perm_hrs]]</f>
        <v>0</v>
      </c>
      <c r="E64" s="24">
        <f>mesclun_sched[[#This Row],[perm_hrs]]*farmer_wage+mesclun_sched[[#This Row],[temp_hrs]]*temp_wage</f>
        <v>13806.076264767653</v>
      </c>
      <c r="F64" s="24">
        <f>mesclun_sched[[#This Row],[q]]*mesclun_crop_fert</f>
        <v>7040</v>
      </c>
      <c r="G64" s="24">
        <f>mesclun_sched[[#This Row],[labor]]+mesclun_sched[[#This Row],[fert]]</f>
        <v>20846.076264767653</v>
      </c>
      <c r="H64" s="24">
        <f>mesclun_sched[[#This Row],[vc]]+fixed_costs</f>
        <v>40846.076264767653</v>
      </c>
      <c r="I64" s="24">
        <f>IF(mesclun_sched[[#This Row],[q]]=0,"",mesclun_sched[[#This Row],[vc]]-mesclun_sched[[#This Row],[vc_1]])</f>
        <v>2754.8992458326466</v>
      </c>
      <c r="J64" s="24">
        <f>IF(mesclun_sched[[#This Row],[q]]=0,"",mesclun_sched[[#This Row],[vc]]/mesclun_sched[[#This Row],[q]])</f>
        <v>2605.7595330959566</v>
      </c>
      <c r="K64" s="24">
        <f>IF(mesclun_sched[[#This Row],[q]]=0,"",mesclun_sched[[#This Row],[tc]]/mesclun_sched[[#This Row],[q]])</f>
        <v>5105.7595330959566</v>
      </c>
      <c r="L64" s="24">
        <f>mesclun_crop_price</f>
        <v>2700</v>
      </c>
      <c r="M64" s="25">
        <f>IF(mesclun_sched[[#This Row],[q]]=0,1,IF(mesclun_sched[[#This Row],[mc]]&lt;=mesclun_sched[[#This Row],[price]],1,0))</f>
        <v>0</v>
      </c>
      <c r="N64" s="25">
        <f>IF(mesclun_sched[[#This Row],[q]]&lt;=1,"",IF(mesclun_sched[[#This Row],[mc]]&lt;mesclun_sched[[#This Row],[mc_1]],1,0))</f>
        <v>0</v>
      </c>
      <c r="O64" s="10">
        <f>MAX(mesclun_sched[[#This Row],[q]]-1,0)</f>
        <v>7</v>
      </c>
      <c r="P64" s="23">
        <f>mesclun_sched[[#This Row],[q_1]]*mesclun_crop_hrswk*season_weeks*(1+mesclun_crop_dim)^mesclun_sched[[#This Row],[q_1]]</f>
        <v>343.61789814532818</v>
      </c>
      <c r="Q64" s="23">
        <f>MIN(mesclun_sched[[#This Row],[hrs_1]],farmer_hrs_field)</f>
        <v>343.61789814532818</v>
      </c>
      <c r="R64" s="23">
        <f>mesclun_sched[[#This Row],[hrs_1]]-mesclun_sched[[#This Row],[perm_hrs_1]]</f>
        <v>0</v>
      </c>
      <c r="S64" s="23">
        <f>mesclun_sched[[#This Row],[perm_hrs_1]]*farmer_wage+mesclun_sched[[#This Row],[temp_hrs_1]]*temp_wage</f>
        <v>11931.177018935006</v>
      </c>
      <c r="T64" s="23">
        <f>mesclun_sched[[#This Row],[q_1]]*mesclun_crop_fert</f>
        <v>6160</v>
      </c>
      <c r="U64" s="23">
        <f>mesclun_sched[[#This Row],[labor_1]]+mesclun_sched[[#This Row],[fert_1]]</f>
        <v>18091.177018935006</v>
      </c>
      <c r="V64" s="23">
        <f>MAX(mesclun_sched[[#This Row],[q]]-2,0)</f>
        <v>6</v>
      </c>
      <c r="W64" s="23">
        <f>mesclun_sched[[#This Row],[q_2]]*mesclun_crop_hrswk*season_weeks*(1+mesclun_crop_dim)^mesclun_sched[[#This Row],[q_2]]</f>
        <v>290.89345874736784</v>
      </c>
      <c r="X64" s="23">
        <f>MIN(mesclun_sched[[#This Row],[hrs_2]],farmer_hrs_field)</f>
        <v>290.89345874736784</v>
      </c>
      <c r="Y64" s="23">
        <f>mesclun_sched[[#This Row],[hrs_2]]-mesclun_sched[[#This Row],[perm_hrs_2]]</f>
        <v>0</v>
      </c>
      <c r="Z64" s="23">
        <f>mesclun_sched[[#This Row],[perm_hrs_2]]*farmer_wage+mesclun_sched[[#This Row],[temp_hrs_2]]*temp_wage</f>
        <v>10100.467317616938</v>
      </c>
      <c r="AA64" s="23">
        <f>mesclun_sched[[#This Row],[q_2]]*mesclun_crop_fert</f>
        <v>5280</v>
      </c>
      <c r="AB64" s="23">
        <f>mesclun_sched[[#This Row],[labor_2]]+mesclun_sched[[#This Row],[fert_2]]</f>
        <v>15380.467317616938</v>
      </c>
      <c r="AC64" s="23">
        <f>IF(mesclun_sched[[#This Row],[q]]&lt;=1,"",mesclun_sched[[#This Row],[vc_1]]-mesclun_sched[[#This Row],[vc_2]])</f>
        <v>2710.7097013180683</v>
      </c>
    </row>
    <row r="65" spans="1:29" x14ac:dyDescent="0.2">
      <c r="A65" s="7">
        <v>9</v>
      </c>
      <c r="B65" s="23">
        <f>mesclun_sched[[#This Row],[q]]*mesclun_crop_hrswk*season_weeks*(1+mesclun_crop_dim)^mesclun_sched[[#This Row],[q]]</f>
        <v>452.90833186570285</v>
      </c>
      <c r="C65" s="23">
        <f>MIN(mesclun_sched[[#This Row],[hrs]],farmer_hrs_field)</f>
        <v>452.90833186570285</v>
      </c>
      <c r="D65" s="23">
        <f>mesclun_sched[[#This Row],[hrs]]-mesclun_sched[[#This Row],[perm_hrs]]</f>
        <v>0</v>
      </c>
      <c r="E65" s="24">
        <f>mesclun_sched[[#This Row],[perm_hrs]]*farmer_wage+mesclun_sched[[#This Row],[temp_hrs]]*temp_wage</f>
        <v>15725.983745336904</v>
      </c>
      <c r="F65" s="24">
        <f>mesclun_sched[[#This Row],[q]]*mesclun_crop_fert</f>
        <v>7920</v>
      </c>
      <c r="G65" s="24">
        <f>mesclun_sched[[#This Row],[labor]]+mesclun_sched[[#This Row],[fert]]</f>
        <v>23645.983745336904</v>
      </c>
      <c r="H65" s="24">
        <f>mesclun_sched[[#This Row],[vc]]+fixed_costs</f>
        <v>43645.983745336904</v>
      </c>
      <c r="I65" s="24">
        <f>IF(mesclun_sched[[#This Row],[q]]=0,"",mesclun_sched[[#This Row],[vc]]-mesclun_sched[[#This Row],[vc_1]])</f>
        <v>2799.9074805692508</v>
      </c>
      <c r="J65" s="24">
        <f>IF(mesclun_sched[[#This Row],[q]]=0,"",mesclun_sched[[#This Row],[vc]]/mesclun_sched[[#This Row],[q]])</f>
        <v>2627.331527259656</v>
      </c>
      <c r="K65" s="24">
        <f>IF(mesclun_sched[[#This Row],[q]]=0,"",mesclun_sched[[#This Row],[tc]]/mesclun_sched[[#This Row],[q]])</f>
        <v>4849.5537494818782</v>
      </c>
      <c r="L65" s="24">
        <f>mesclun_crop_price</f>
        <v>2700</v>
      </c>
      <c r="M65" s="25">
        <f>IF(mesclun_sched[[#This Row],[q]]=0,1,IF(mesclun_sched[[#This Row],[mc]]&lt;=mesclun_sched[[#This Row],[price]],1,0))</f>
        <v>0</v>
      </c>
      <c r="N65" s="25">
        <f>IF(mesclun_sched[[#This Row],[q]]&lt;=1,"",IF(mesclun_sched[[#This Row],[mc]]&lt;mesclun_sched[[#This Row],[mc_1]],1,0))</f>
        <v>0</v>
      </c>
      <c r="O65" s="10">
        <f>MAX(mesclun_sched[[#This Row],[q]]-1,0)</f>
        <v>8</v>
      </c>
      <c r="P65" s="23">
        <f>mesclun_sched[[#This Row],[q_1]]*mesclun_crop_hrswk*season_weeks*(1+mesclun_crop_dim)^mesclun_sched[[#This Row],[q_1]]</f>
        <v>397.61499642530839</v>
      </c>
      <c r="Q65" s="23">
        <f>MIN(mesclun_sched[[#This Row],[hrs_1]],farmer_hrs_field)</f>
        <v>397.61499642530839</v>
      </c>
      <c r="R65" s="23">
        <f>mesclun_sched[[#This Row],[hrs_1]]-mesclun_sched[[#This Row],[perm_hrs_1]]</f>
        <v>0</v>
      </c>
      <c r="S65" s="23">
        <f>mesclun_sched[[#This Row],[perm_hrs_1]]*farmer_wage+mesclun_sched[[#This Row],[temp_hrs_1]]*temp_wage</f>
        <v>13806.076264767653</v>
      </c>
      <c r="T65" s="23">
        <f>mesclun_sched[[#This Row],[q_1]]*mesclun_crop_fert</f>
        <v>7040</v>
      </c>
      <c r="U65" s="23">
        <f>mesclun_sched[[#This Row],[labor_1]]+mesclun_sched[[#This Row],[fert_1]]</f>
        <v>20846.076264767653</v>
      </c>
      <c r="V65" s="23">
        <f>MAX(mesclun_sched[[#This Row],[q]]-2,0)</f>
        <v>7</v>
      </c>
      <c r="W65" s="23">
        <f>mesclun_sched[[#This Row],[q_2]]*mesclun_crop_hrswk*season_weeks*(1+mesclun_crop_dim)^mesclun_sched[[#This Row],[q_2]]</f>
        <v>343.61789814532818</v>
      </c>
      <c r="X65" s="23">
        <f>MIN(mesclun_sched[[#This Row],[hrs_2]],farmer_hrs_field)</f>
        <v>343.61789814532818</v>
      </c>
      <c r="Y65" s="23">
        <f>mesclun_sched[[#This Row],[hrs_2]]-mesclun_sched[[#This Row],[perm_hrs_2]]</f>
        <v>0</v>
      </c>
      <c r="Z65" s="23">
        <f>mesclun_sched[[#This Row],[perm_hrs_2]]*farmer_wage+mesclun_sched[[#This Row],[temp_hrs_2]]*temp_wage</f>
        <v>11931.177018935006</v>
      </c>
      <c r="AA65" s="23">
        <f>mesclun_sched[[#This Row],[q_2]]*mesclun_crop_fert</f>
        <v>6160</v>
      </c>
      <c r="AB65" s="23">
        <f>mesclun_sched[[#This Row],[labor_2]]+mesclun_sched[[#This Row],[fert_2]]</f>
        <v>18091.177018935006</v>
      </c>
      <c r="AC65" s="23">
        <f>IF(mesclun_sched[[#This Row],[q]]&lt;=1,"",mesclun_sched[[#This Row],[vc_1]]-mesclun_sched[[#This Row],[vc_2]])</f>
        <v>2754.8992458326466</v>
      </c>
    </row>
    <row r="66" spans="1:29" x14ac:dyDescent="0.2">
      <c r="A66" s="7">
        <v>10</v>
      </c>
      <c r="B66" s="23">
        <f>mesclun_sched[[#This Row],[q]]*mesclun_crop_hrswk*season_weeks*(1+mesclun_crop_dim)^mesclun_sched[[#This Row],[q]]</f>
        <v>509.52187334891573</v>
      </c>
      <c r="C66" s="23">
        <f>MIN(mesclun_sched[[#This Row],[hrs]],farmer_hrs_field)</f>
        <v>509.52187334891573</v>
      </c>
      <c r="D66" s="23">
        <f>mesclun_sched[[#This Row],[hrs]]-mesclun_sched[[#This Row],[perm_hrs]]</f>
        <v>0</v>
      </c>
      <c r="E66" s="24">
        <f>mesclun_sched[[#This Row],[perm_hrs]]*farmer_wage+mesclun_sched[[#This Row],[temp_hrs]]*temp_wage</f>
        <v>17691.731713504018</v>
      </c>
      <c r="F66" s="24">
        <f>mesclun_sched[[#This Row],[q]]*mesclun_crop_fert</f>
        <v>8800</v>
      </c>
      <c r="G66" s="24">
        <f>mesclun_sched[[#This Row],[labor]]+mesclun_sched[[#This Row],[fert]]</f>
        <v>26491.731713504018</v>
      </c>
      <c r="H66" s="24">
        <f>mesclun_sched[[#This Row],[vc]]+fixed_costs</f>
        <v>46491.731713504021</v>
      </c>
      <c r="I66" s="24">
        <f>IF(mesclun_sched[[#This Row],[q]]=0,"",mesclun_sched[[#This Row],[vc]]-mesclun_sched[[#This Row],[vc_1]])</f>
        <v>2845.7479681671139</v>
      </c>
      <c r="J66" s="24">
        <f>IF(mesclun_sched[[#This Row],[q]]=0,"",mesclun_sched[[#This Row],[vc]]/mesclun_sched[[#This Row],[q]])</f>
        <v>2649.1731713504018</v>
      </c>
      <c r="K66" s="24">
        <f>IF(mesclun_sched[[#This Row],[q]]=0,"",mesclun_sched[[#This Row],[tc]]/mesclun_sched[[#This Row],[q]])</f>
        <v>4649.1731713504023</v>
      </c>
      <c r="L66" s="24">
        <f>mesclun_crop_price</f>
        <v>2700</v>
      </c>
      <c r="M66" s="25">
        <f>IF(mesclun_sched[[#This Row],[q]]=0,1,IF(mesclun_sched[[#This Row],[mc]]&lt;=mesclun_sched[[#This Row],[price]],1,0))</f>
        <v>0</v>
      </c>
      <c r="N66" s="25">
        <f>IF(mesclun_sched[[#This Row],[q]]&lt;=1,"",IF(mesclun_sched[[#This Row],[mc]]&lt;mesclun_sched[[#This Row],[mc_1]],1,0))</f>
        <v>0</v>
      </c>
      <c r="O66" s="10">
        <f>MAX(mesclun_sched[[#This Row],[q]]-1,0)</f>
        <v>9</v>
      </c>
      <c r="P66" s="23">
        <f>mesclun_sched[[#This Row],[q_1]]*mesclun_crop_hrswk*season_weeks*(1+mesclun_crop_dim)^mesclun_sched[[#This Row],[q_1]]</f>
        <v>452.90833186570285</v>
      </c>
      <c r="Q66" s="23">
        <f>MIN(mesclun_sched[[#This Row],[hrs_1]],farmer_hrs_field)</f>
        <v>452.90833186570285</v>
      </c>
      <c r="R66" s="23">
        <f>mesclun_sched[[#This Row],[hrs_1]]-mesclun_sched[[#This Row],[perm_hrs_1]]</f>
        <v>0</v>
      </c>
      <c r="S66" s="23">
        <f>mesclun_sched[[#This Row],[perm_hrs_1]]*farmer_wage+mesclun_sched[[#This Row],[temp_hrs_1]]*temp_wage</f>
        <v>15725.983745336904</v>
      </c>
      <c r="T66" s="23">
        <f>mesclun_sched[[#This Row],[q_1]]*mesclun_crop_fert</f>
        <v>7920</v>
      </c>
      <c r="U66" s="23">
        <f>mesclun_sched[[#This Row],[labor_1]]+mesclun_sched[[#This Row],[fert_1]]</f>
        <v>23645.983745336904</v>
      </c>
      <c r="V66" s="23">
        <f>MAX(mesclun_sched[[#This Row],[q]]-2,0)</f>
        <v>8</v>
      </c>
      <c r="W66" s="23">
        <f>mesclun_sched[[#This Row],[q_2]]*mesclun_crop_hrswk*season_weeks*(1+mesclun_crop_dim)^mesclun_sched[[#This Row],[q_2]]</f>
        <v>397.61499642530839</v>
      </c>
      <c r="X66" s="23">
        <f>MIN(mesclun_sched[[#This Row],[hrs_2]],farmer_hrs_field)</f>
        <v>397.61499642530839</v>
      </c>
      <c r="Y66" s="23">
        <f>mesclun_sched[[#This Row],[hrs_2]]-mesclun_sched[[#This Row],[perm_hrs_2]]</f>
        <v>0</v>
      </c>
      <c r="Z66" s="23">
        <f>mesclun_sched[[#This Row],[perm_hrs_2]]*farmer_wage+mesclun_sched[[#This Row],[temp_hrs_2]]*temp_wage</f>
        <v>13806.076264767653</v>
      </c>
      <c r="AA66" s="23">
        <f>mesclun_sched[[#This Row],[q_2]]*mesclun_crop_fert</f>
        <v>7040</v>
      </c>
      <c r="AB66" s="23">
        <f>mesclun_sched[[#This Row],[labor_2]]+mesclun_sched[[#This Row],[fert_2]]</f>
        <v>20846.076264767653</v>
      </c>
      <c r="AC66" s="23">
        <f>IF(mesclun_sched[[#This Row],[q]]&lt;=1,"",mesclun_sched[[#This Row],[vc_1]]-mesclun_sched[[#This Row],[vc_2]])</f>
        <v>2799.9074805692508</v>
      </c>
    </row>
    <row r="67" spans="1:29" x14ac:dyDescent="0.2">
      <c r="A67" s="7">
        <v>11</v>
      </c>
      <c r="B67" s="23">
        <f>mesclun_sched[[#This Row],[q]]*mesclun_crop_hrswk*season_weeks*(1+mesclun_crop_dim)^mesclun_sched[[#This Row],[q]]</f>
        <v>567.47998644235474</v>
      </c>
      <c r="C67" s="23">
        <f>MIN(mesclun_sched[[#This Row],[hrs]],farmer_hrs_field)</f>
        <v>567.47998644235474</v>
      </c>
      <c r="D67" s="23">
        <f>mesclun_sched[[#This Row],[hrs]]-mesclun_sched[[#This Row],[perm_hrs]]</f>
        <v>0</v>
      </c>
      <c r="E67" s="24">
        <f>mesclun_sched[[#This Row],[perm_hrs]]*farmer_wage+mesclun_sched[[#This Row],[temp_hrs]]*temp_wage</f>
        <v>19704.166195915095</v>
      </c>
      <c r="F67" s="24">
        <f>mesclun_sched[[#This Row],[q]]*mesclun_crop_fert</f>
        <v>9680</v>
      </c>
      <c r="G67" s="24">
        <f>mesclun_sched[[#This Row],[labor]]+mesclun_sched[[#This Row],[fert]]</f>
        <v>29384.166195915095</v>
      </c>
      <c r="H67" s="24">
        <f>mesclun_sched[[#This Row],[vc]]+fixed_costs</f>
        <v>49384.166195915095</v>
      </c>
      <c r="I67" s="24">
        <f>IF(mesclun_sched[[#This Row],[q]]=0,"",mesclun_sched[[#This Row],[vc]]-mesclun_sched[[#This Row],[vc_1]])</f>
        <v>2892.4344824110776</v>
      </c>
      <c r="J67" s="24">
        <f>IF(mesclun_sched[[#This Row],[q]]=0,"",mesclun_sched[[#This Row],[vc]]/mesclun_sched[[#This Row],[q]])</f>
        <v>2671.2878359922815</v>
      </c>
      <c r="K67" s="24">
        <f>IF(mesclun_sched[[#This Row],[q]]=0,"",mesclun_sched[[#This Row],[tc]]/mesclun_sched[[#This Row],[q]])</f>
        <v>4489.4696541740996</v>
      </c>
      <c r="L67" s="24">
        <f>mesclun_crop_price</f>
        <v>2700</v>
      </c>
      <c r="M67" s="25">
        <f>IF(mesclun_sched[[#This Row],[q]]=0,1,IF(mesclun_sched[[#This Row],[mc]]&lt;=mesclun_sched[[#This Row],[price]],1,0))</f>
        <v>0</v>
      </c>
      <c r="N67" s="25">
        <f>IF(mesclun_sched[[#This Row],[q]]&lt;=1,"",IF(mesclun_sched[[#This Row],[mc]]&lt;mesclun_sched[[#This Row],[mc_1]],1,0))</f>
        <v>0</v>
      </c>
      <c r="O67" s="10">
        <f>MAX(mesclun_sched[[#This Row],[q]]-1,0)</f>
        <v>10</v>
      </c>
      <c r="P67" s="23">
        <f>mesclun_sched[[#This Row],[q_1]]*mesclun_crop_hrswk*season_weeks*(1+mesclun_crop_dim)^mesclun_sched[[#This Row],[q_1]]</f>
        <v>509.52187334891573</v>
      </c>
      <c r="Q67" s="23">
        <f>MIN(mesclun_sched[[#This Row],[hrs_1]],farmer_hrs_field)</f>
        <v>509.52187334891573</v>
      </c>
      <c r="R67" s="23">
        <f>mesclun_sched[[#This Row],[hrs_1]]-mesclun_sched[[#This Row],[perm_hrs_1]]</f>
        <v>0</v>
      </c>
      <c r="S67" s="23">
        <f>mesclun_sched[[#This Row],[perm_hrs_1]]*farmer_wage+mesclun_sched[[#This Row],[temp_hrs_1]]*temp_wage</f>
        <v>17691.731713504018</v>
      </c>
      <c r="T67" s="23">
        <f>mesclun_sched[[#This Row],[q_1]]*mesclun_crop_fert</f>
        <v>8800</v>
      </c>
      <c r="U67" s="23">
        <f>mesclun_sched[[#This Row],[labor_1]]+mesclun_sched[[#This Row],[fert_1]]</f>
        <v>26491.731713504018</v>
      </c>
      <c r="V67" s="23">
        <f>MAX(mesclun_sched[[#This Row],[q]]-2,0)</f>
        <v>9</v>
      </c>
      <c r="W67" s="23">
        <f>mesclun_sched[[#This Row],[q_2]]*mesclun_crop_hrswk*season_weeks*(1+mesclun_crop_dim)^mesclun_sched[[#This Row],[q_2]]</f>
        <v>452.90833186570285</v>
      </c>
      <c r="X67" s="23">
        <f>MIN(mesclun_sched[[#This Row],[hrs_2]],farmer_hrs_field)</f>
        <v>452.90833186570285</v>
      </c>
      <c r="Y67" s="23">
        <f>mesclun_sched[[#This Row],[hrs_2]]-mesclun_sched[[#This Row],[perm_hrs_2]]</f>
        <v>0</v>
      </c>
      <c r="Z67" s="23">
        <f>mesclun_sched[[#This Row],[perm_hrs_2]]*farmer_wage+mesclun_sched[[#This Row],[temp_hrs_2]]*temp_wage</f>
        <v>15725.983745336904</v>
      </c>
      <c r="AA67" s="23">
        <f>mesclun_sched[[#This Row],[q_2]]*mesclun_crop_fert</f>
        <v>7920</v>
      </c>
      <c r="AB67" s="23">
        <f>mesclun_sched[[#This Row],[labor_2]]+mesclun_sched[[#This Row],[fert_2]]</f>
        <v>23645.983745336904</v>
      </c>
      <c r="AC67" s="23">
        <f>IF(mesclun_sched[[#This Row],[q]]&lt;=1,"",mesclun_sched[[#This Row],[vc_1]]-mesclun_sched[[#This Row],[vc_2]])</f>
        <v>2845.7479681671139</v>
      </c>
    </row>
    <row r="68" spans="1:29" x14ac:dyDescent="0.2">
      <c r="A68" s="7">
        <v>12</v>
      </c>
      <c r="B68" s="23">
        <f>mesclun_sched[[#This Row],[q]]*mesclun_crop_hrswk*season_weeks*(1+mesclun_crop_dim)^mesclun_sched[[#This Row],[q]]</f>
        <v>626.80743957041921</v>
      </c>
      <c r="C68" s="23">
        <f>MIN(mesclun_sched[[#This Row],[hrs]],farmer_hrs_field)</f>
        <v>626.80743957041921</v>
      </c>
      <c r="D68" s="23">
        <f>mesclun_sched[[#This Row],[hrs]]-mesclun_sched[[#This Row],[perm_hrs]]</f>
        <v>0</v>
      </c>
      <c r="E68" s="24">
        <f>mesclun_sched[[#This Row],[perm_hrs]]*farmer_wage+mesclun_sched[[#This Row],[temp_hrs]]*temp_wage</f>
        <v>21764.147207306221</v>
      </c>
      <c r="F68" s="24">
        <f>mesclun_sched[[#This Row],[q]]*mesclun_crop_fert</f>
        <v>10560</v>
      </c>
      <c r="G68" s="24">
        <f>mesclun_sched[[#This Row],[labor]]+mesclun_sched[[#This Row],[fert]]</f>
        <v>32324.147207306221</v>
      </c>
      <c r="H68" s="24">
        <f>mesclun_sched[[#This Row],[vc]]+fixed_costs</f>
        <v>52324.147207306218</v>
      </c>
      <c r="I68" s="24">
        <f>IF(mesclun_sched[[#This Row],[q]]=0,"",mesclun_sched[[#This Row],[vc]]-mesclun_sched[[#This Row],[vc_1]])</f>
        <v>2939.9810113911262</v>
      </c>
      <c r="J68" s="24">
        <f>IF(mesclun_sched[[#This Row],[q]]=0,"",mesclun_sched[[#This Row],[vc]]/mesclun_sched[[#This Row],[q]])</f>
        <v>2693.6789339421853</v>
      </c>
      <c r="K68" s="24">
        <f>IF(mesclun_sched[[#This Row],[q]]=0,"",mesclun_sched[[#This Row],[tc]]/mesclun_sched[[#This Row],[q]])</f>
        <v>4360.3456006088518</v>
      </c>
      <c r="L68" s="24">
        <f>mesclun_crop_price</f>
        <v>2700</v>
      </c>
      <c r="M68" s="25">
        <f>IF(mesclun_sched[[#This Row],[q]]=0,1,IF(mesclun_sched[[#This Row],[mc]]&lt;=mesclun_sched[[#This Row],[price]],1,0))</f>
        <v>0</v>
      </c>
      <c r="N68" s="25">
        <f>IF(mesclun_sched[[#This Row],[q]]&lt;=1,"",IF(mesclun_sched[[#This Row],[mc]]&lt;mesclun_sched[[#This Row],[mc_1]],1,0))</f>
        <v>0</v>
      </c>
      <c r="O68" s="10">
        <f>MAX(mesclun_sched[[#This Row],[q]]-1,0)</f>
        <v>11</v>
      </c>
      <c r="P68" s="23">
        <f>mesclun_sched[[#This Row],[q_1]]*mesclun_crop_hrswk*season_weeks*(1+mesclun_crop_dim)^mesclun_sched[[#This Row],[q_1]]</f>
        <v>567.47998644235474</v>
      </c>
      <c r="Q68" s="23">
        <f>MIN(mesclun_sched[[#This Row],[hrs_1]],farmer_hrs_field)</f>
        <v>567.47998644235474</v>
      </c>
      <c r="R68" s="23">
        <f>mesclun_sched[[#This Row],[hrs_1]]-mesclun_sched[[#This Row],[perm_hrs_1]]</f>
        <v>0</v>
      </c>
      <c r="S68" s="23">
        <f>mesclun_sched[[#This Row],[perm_hrs_1]]*farmer_wage+mesclun_sched[[#This Row],[temp_hrs_1]]*temp_wage</f>
        <v>19704.166195915095</v>
      </c>
      <c r="T68" s="23">
        <f>mesclun_sched[[#This Row],[q_1]]*mesclun_crop_fert</f>
        <v>9680</v>
      </c>
      <c r="U68" s="23">
        <f>mesclun_sched[[#This Row],[labor_1]]+mesclun_sched[[#This Row],[fert_1]]</f>
        <v>29384.166195915095</v>
      </c>
      <c r="V68" s="23">
        <f>MAX(mesclun_sched[[#This Row],[q]]-2,0)</f>
        <v>10</v>
      </c>
      <c r="W68" s="23">
        <f>mesclun_sched[[#This Row],[q_2]]*mesclun_crop_hrswk*season_weeks*(1+mesclun_crop_dim)^mesclun_sched[[#This Row],[q_2]]</f>
        <v>509.52187334891573</v>
      </c>
      <c r="X68" s="23">
        <f>MIN(mesclun_sched[[#This Row],[hrs_2]],farmer_hrs_field)</f>
        <v>509.52187334891573</v>
      </c>
      <c r="Y68" s="23">
        <f>mesclun_sched[[#This Row],[hrs_2]]-mesclun_sched[[#This Row],[perm_hrs_2]]</f>
        <v>0</v>
      </c>
      <c r="Z68" s="23">
        <f>mesclun_sched[[#This Row],[perm_hrs_2]]*farmer_wage+mesclun_sched[[#This Row],[temp_hrs_2]]*temp_wage</f>
        <v>17691.731713504018</v>
      </c>
      <c r="AA68" s="23">
        <f>mesclun_sched[[#This Row],[q_2]]*mesclun_crop_fert</f>
        <v>8800</v>
      </c>
      <c r="AB68" s="23">
        <f>mesclun_sched[[#This Row],[labor_2]]+mesclun_sched[[#This Row],[fert_2]]</f>
        <v>26491.731713504018</v>
      </c>
      <c r="AC68" s="23">
        <f>IF(mesclun_sched[[#This Row],[q]]&lt;=1,"",mesclun_sched[[#This Row],[vc_1]]-mesclun_sched[[#This Row],[vc_2]])</f>
        <v>2892.4344824110776</v>
      </c>
    </row>
    <row r="69" spans="1:29" x14ac:dyDescent="0.2">
      <c r="A69" s="7">
        <v>13</v>
      </c>
      <c r="B69" s="23">
        <f>mesclun_sched[[#This Row],[q]]*mesclun_crop_hrswk*season_weeks*(1+mesclun_crop_dim)^mesclun_sched[[#This Row],[q]]</f>
        <v>687.52941027880343</v>
      </c>
      <c r="C69" s="23">
        <f>MIN(mesclun_sched[[#This Row],[hrs]],farmer_hrs_field)</f>
        <v>687.52941027880343</v>
      </c>
      <c r="D69" s="23">
        <f>mesclun_sched[[#This Row],[hrs]]-mesclun_sched[[#This Row],[perm_hrs]]</f>
        <v>0</v>
      </c>
      <c r="E69" s="24">
        <f>mesclun_sched[[#This Row],[perm_hrs]]*farmer_wage+mesclun_sched[[#This Row],[temp_hrs]]*temp_wage</f>
        <v>23872.548968014009</v>
      </c>
      <c r="F69" s="24">
        <f>mesclun_sched[[#This Row],[q]]*mesclun_crop_fert</f>
        <v>11440</v>
      </c>
      <c r="G69" s="24">
        <f>mesclun_sched[[#This Row],[labor]]+mesclun_sched[[#This Row],[fert]]</f>
        <v>35312.548968014009</v>
      </c>
      <c r="H69" s="24">
        <f>mesclun_sched[[#This Row],[vc]]+fixed_costs</f>
        <v>55312.548968014009</v>
      </c>
      <c r="I69" s="24">
        <f>IF(mesclun_sched[[#This Row],[q]]=0,"",mesclun_sched[[#This Row],[vc]]-mesclun_sched[[#This Row],[vc_1]])</f>
        <v>2988.4017607077876</v>
      </c>
      <c r="J69" s="24">
        <f>IF(mesclun_sched[[#This Row],[q]]=0,"",mesclun_sched[[#This Row],[vc]]/mesclun_sched[[#This Row],[q]])</f>
        <v>2716.3499206164624</v>
      </c>
      <c r="K69" s="24">
        <f>IF(mesclun_sched[[#This Row],[q]]=0,"",mesclun_sched[[#This Row],[tc]]/mesclun_sched[[#This Row],[q]])</f>
        <v>4254.8114590780006</v>
      </c>
      <c r="L69" s="24">
        <f>mesclun_crop_price</f>
        <v>2700</v>
      </c>
      <c r="M69" s="25">
        <f>IF(mesclun_sched[[#This Row],[q]]=0,1,IF(mesclun_sched[[#This Row],[mc]]&lt;=mesclun_sched[[#This Row],[price]],1,0))</f>
        <v>0</v>
      </c>
      <c r="N69" s="25">
        <f>IF(mesclun_sched[[#This Row],[q]]&lt;=1,"",IF(mesclun_sched[[#This Row],[mc]]&lt;mesclun_sched[[#This Row],[mc_1]],1,0))</f>
        <v>0</v>
      </c>
      <c r="O69" s="10">
        <f>MAX(mesclun_sched[[#This Row],[q]]-1,0)</f>
        <v>12</v>
      </c>
      <c r="P69" s="23">
        <f>mesclun_sched[[#This Row],[q_1]]*mesclun_crop_hrswk*season_weeks*(1+mesclun_crop_dim)^mesclun_sched[[#This Row],[q_1]]</f>
        <v>626.80743957041921</v>
      </c>
      <c r="Q69" s="23">
        <f>MIN(mesclun_sched[[#This Row],[hrs_1]],farmer_hrs_field)</f>
        <v>626.80743957041921</v>
      </c>
      <c r="R69" s="23">
        <f>mesclun_sched[[#This Row],[hrs_1]]-mesclun_sched[[#This Row],[perm_hrs_1]]</f>
        <v>0</v>
      </c>
      <c r="S69" s="23">
        <f>mesclun_sched[[#This Row],[perm_hrs_1]]*farmer_wage+mesclun_sched[[#This Row],[temp_hrs_1]]*temp_wage</f>
        <v>21764.147207306221</v>
      </c>
      <c r="T69" s="23">
        <f>mesclun_sched[[#This Row],[q_1]]*mesclun_crop_fert</f>
        <v>10560</v>
      </c>
      <c r="U69" s="23">
        <f>mesclun_sched[[#This Row],[labor_1]]+mesclun_sched[[#This Row],[fert_1]]</f>
        <v>32324.147207306221</v>
      </c>
      <c r="V69" s="23">
        <f>MAX(mesclun_sched[[#This Row],[q]]-2,0)</f>
        <v>11</v>
      </c>
      <c r="W69" s="23">
        <f>mesclun_sched[[#This Row],[q_2]]*mesclun_crop_hrswk*season_weeks*(1+mesclun_crop_dim)^mesclun_sched[[#This Row],[q_2]]</f>
        <v>567.47998644235474</v>
      </c>
      <c r="X69" s="23">
        <f>MIN(mesclun_sched[[#This Row],[hrs_2]],farmer_hrs_field)</f>
        <v>567.47998644235474</v>
      </c>
      <c r="Y69" s="23">
        <f>mesclun_sched[[#This Row],[hrs_2]]-mesclun_sched[[#This Row],[perm_hrs_2]]</f>
        <v>0</v>
      </c>
      <c r="Z69" s="23">
        <f>mesclun_sched[[#This Row],[perm_hrs_2]]*farmer_wage+mesclun_sched[[#This Row],[temp_hrs_2]]*temp_wage</f>
        <v>19704.166195915095</v>
      </c>
      <c r="AA69" s="23">
        <f>mesclun_sched[[#This Row],[q_2]]*mesclun_crop_fert</f>
        <v>9680</v>
      </c>
      <c r="AB69" s="23">
        <f>mesclun_sched[[#This Row],[labor_2]]+mesclun_sched[[#This Row],[fert_2]]</f>
        <v>29384.166195915095</v>
      </c>
      <c r="AC69" s="23">
        <f>IF(mesclun_sched[[#This Row],[q]]&lt;=1,"",mesclun_sched[[#This Row],[vc_1]]-mesclun_sched[[#This Row],[vc_2]])</f>
        <v>2939.9810113911262</v>
      </c>
    </row>
    <row r="70" spans="1:29" x14ac:dyDescent="0.2">
      <c r="A70" s="7">
        <v>14</v>
      </c>
      <c r="B70" s="23">
        <f>mesclun_sched[[#This Row],[q]]*mesclun_crop_hrswk*season_weeks*(1+mesclun_crop_dim)^mesclun_sched[[#This Row],[q]]</f>
        <v>749.67149159246469</v>
      </c>
      <c r="C70" s="23">
        <f>MIN(mesclun_sched[[#This Row],[hrs]],farmer_hrs_field)</f>
        <v>720</v>
      </c>
      <c r="D70" s="23">
        <f>mesclun_sched[[#This Row],[hrs]]-mesclun_sched[[#This Row],[perm_hrs]]</f>
        <v>29.67149159246469</v>
      </c>
      <c r="E70" s="24">
        <f>mesclun_sched[[#This Row],[perm_hrs]]*farmer_wage+mesclun_sched[[#This Row],[temp_hrs]]*temp_wage</f>
        <v>25515.130062369179</v>
      </c>
      <c r="F70" s="24">
        <f>mesclun_sched[[#This Row],[q]]*mesclun_crop_fert</f>
        <v>12320</v>
      </c>
      <c r="G70" s="24">
        <f>mesclun_sched[[#This Row],[labor]]+mesclun_sched[[#This Row],[fert]]</f>
        <v>37835.130062369179</v>
      </c>
      <c r="H70" s="24">
        <f>mesclun_sched[[#This Row],[vc]]+fixed_costs</f>
        <v>57835.130062369179</v>
      </c>
      <c r="I70" s="24">
        <f>IF(mesclun_sched[[#This Row],[q]]=0,"",mesclun_sched[[#This Row],[vc]]-mesclun_sched[[#This Row],[vc_1]])</f>
        <v>2522.5810943551696</v>
      </c>
      <c r="J70" s="24">
        <f>IF(mesclun_sched[[#This Row],[q]]=0,"",mesclun_sched[[#This Row],[vc]]/mesclun_sched[[#This Row],[q]])</f>
        <v>2702.5092901692269</v>
      </c>
      <c r="K70" s="24">
        <f>IF(mesclun_sched[[#This Row],[q]]=0,"",mesclun_sched[[#This Row],[tc]]/mesclun_sched[[#This Row],[q]])</f>
        <v>4131.0807187406554</v>
      </c>
      <c r="L70" s="24">
        <f>mesclun_crop_price</f>
        <v>2700</v>
      </c>
      <c r="M70" s="25">
        <f>IF(mesclun_sched[[#This Row],[q]]=0,1,IF(mesclun_sched[[#This Row],[mc]]&lt;=mesclun_sched[[#This Row],[price]],1,0))</f>
        <v>1</v>
      </c>
      <c r="N70" s="25">
        <f>IF(mesclun_sched[[#This Row],[q]]&lt;=1,"",IF(mesclun_sched[[#This Row],[mc]]&lt;mesclun_sched[[#This Row],[mc_1]],1,0))</f>
        <v>1</v>
      </c>
      <c r="O70" s="10">
        <f>MAX(mesclun_sched[[#This Row],[q]]-1,0)</f>
        <v>13</v>
      </c>
      <c r="P70" s="23">
        <f>mesclun_sched[[#This Row],[q_1]]*mesclun_crop_hrswk*season_weeks*(1+mesclun_crop_dim)^mesclun_sched[[#This Row],[q_1]]</f>
        <v>687.52941027880343</v>
      </c>
      <c r="Q70" s="23">
        <f>MIN(mesclun_sched[[#This Row],[hrs_1]],farmer_hrs_field)</f>
        <v>687.52941027880343</v>
      </c>
      <c r="R70" s="23">
        <f>mesclun_sched[[#This Row],[hrs_1]]-mesclun_sched[[#This Row],[perm_hrs_1]]</f>
        <v>0</v>
      </c>
      <c r="S70" s="23">
        <f>mesclun_sched[[#This Row],[perm_hrs_1]]*farmer_wage+mesclun_sched[[#This Row],[temp_hrs_1]]*temp_wage</f>
        <v>23872.548968014009</v>
      </c>
      <c r="T70" s="23">
        <f>mesclun_sched[[#This Row],[q_1]]*mesclun_crop_fert</f>
        <v>11440</v>
      </c>
      <c r="U70" s="23">
        <f>mesclun_sched[[#This Row],[labor_1]]+mesclun_sched[[#This Row],[fert_1]]</f>
        <v>35312.548968014009</v>
      </c>
      <c r="V70" s="23">
        <f>MAX(mesclun_sched[[#This Row],[q]]-2,0)</f>
        <v>12</v>
      </c>
      <c r="W70" s="23">
        <f>mesclun_sched[[#This Row],[q_2]]*mesclun_crop_hrswk*season_weeks*(1+mesclun_crop_dim)^mesclun_sched[[#This Row],[q_2]]</f>
        <v>626.80743957041921</v>
      </c>
      <c r="X70" s="23">
        <f>MIN(mesclun_sched[[#This Row],[hrs_2]],farmer_hrs_field)</f>
        <v>626.80743957041921</v>
      </c>
      <c r="Y70" s="23">
        <f>mesclun_sched[[#This Row],[hrs_2]]-mesclun_sched[[#This Row],[perm_hrs_2]]</f>
        <v>0</v>
      </c>
      <c r="Z70" s="23">
        <f>mesclun_sched[[#This Row],[perm_hrs_2]]*farmer_wage+mesclun_sched[[#This Row],[temp_hrs_2]]*temp_wage</f>
        <v>21764.147207306221</v>
      </c>
      <c r="AA70" s="23">
        <f>mesclun_sched[[#This Row],[q_2]]*mesclun_crop_fert</f>
        <v>10560</v>
      </c>
      <c r="AB70" s="23">
        <f>mesclun_sched[[#This Row],[labor_2]]+mesclun_sched[[#This Row],[fert_2]]</f>
        <v>32324.147207306221</v>
      </c>
      <c r="AC70" s="23">
        <f>IF(mesclun_sched[[#This Row],[q]]&lt;=1,"",mesclun_sched[[#This Row],[vc_1]]-mesclun_sched[[#This Row],[vc_2]])</f>
        <v>2988.4017607077876</v>
      </c>
    </row>
    <row r="71" spans="1:29" x14ac:dyDescent="0.2">
      <c r="A71" s="7">
        <v>15</v>
      </c>
      <c r="B71" s="23">
        <f>mesclun_sched[[#This Row],[q]]*mesclun_crop_hrswk*season_weeks*(1+mesclun_crop_dim)^mesclun_sched[[#This Row],[q]]</f>
        <v>813.25969846861108</v>
      </c>
      <c r="C71" s="23">
        <f>MIN(mesclun_sched[[#This Row],[hrs]],farmer_hrs_field)</f>
        <v>720</v>
      </c>
      <c r="D71" s="23">
        <f>mesclun_sched[[#This Row],[hrs]]-mesclun_sched[[#This Row],[perm_hrs]]</f>
        <v>93.259698468611077</v>
      </c>
      <c r="E71" s="24">
        <f>mesclun_sched[[#This Row],[perm_hrs]]*farmer_wage+mesclun_sched[[#This Row],[temp_hrs]]*temp_wage</f>
        <v>26619.091987302276</v>
      </c>
      <c r="F71" s="24">
        <f>mesclun_sched[[#This Row],[q]]*mesclun_crop_fert</f>
        <v>13200</v>
      </c>
      <c r="G71" s="24">
        <f>mesclun_sched[[#This Row],[labor]]+mesclun_sched[[#This Row],[fert]]</f>
        <v>39819.091987302279</v>
      </c>
      <c r="H71" s="24">
        <f>mesclun_sched[[#This Row],[vc]]+fixed_costs</f>
        <v>59819.091987302279</v>
      </c>
      <c r="I71" s="24">
        <f>IF(mesclun_sched[[#This Row],[q]]=0,"",mesclun_sched[[#This Row],[vc]]-mesclun_sched[[#This Row],[vc_1]])</f>
        <v>1983.9619249331008</v>
      </c>
      <c r="J71" s="24">
        <f>IF(mesclun_sched[[#This Row],[q]]=0,"",mesclun_sched[[#This Row],[vc]]/mesclun_sched[[#This Row],[q]])</f>
        <v>2654.6061324868188</v>
      </c>
      <c r="K71" s="24">
        <f>IF(mesclun_sched[[#This Row],[q]]=0,"",mesclun_sched[[#This Row],[tc]]/mesclun_sched[[#This Row],[q]])</f>
        <v>3987.9394658201518</v>
      </c>
      <c r="L71" s="24">
        <f>mesclun_crop_price</f>
        <v>2700</v>
      </c>
      <c r="M71" s="25">
        <f>IF(mesclun_sched[[#This Row],[q]]=0,1,IF(mesclun_sched[[#This Row],[mc]]&lt;=mesclun_sched[[#This Row],[price]],1,0))</f>
        <v>1</v>
      </c>
      <c r="N71" s="25">
        <f>IF(mesclun_sched[[#This Row],[q]]&lt;=1,"",IF(mesclun_sched[[#This Row],[mc]]&lt;mesclun_sched[[#This Row],[mc_1]],1,0))</f>
        <v>1</v>
      </c>
      <c r="O71" s="10">
        <f>MAX(mesclun_sched[[#This Row],[q]]-1,0)</f>
        <v>14</v>
      </c>
      <c r="P71" s="23">
        <f>mesclun_sched[[#This Row],[q_1]]*mesclun_crop_hrswk*season_weeks*(1+mesclun_crop_dim)^mesclun_sched[[#This Row],[q_1]]</f>
        <v>749.67149159246469</v>
      </c>
      <c r="Q71" s="23">
        <f>MIN(mesclun_sched[[#This Row],[hrs_1]],farmer_hrs_field)</f>
        <v>720</v>
      </c>
      <c r="R71" s="23">
        <f>mesclun_sched[[#This Row],[hrs_1]]-mesclun_sched[[#This Row],[perm_hrs_1]]</f>
        <v>29.67149159246469</v>
      </c>
      <c r="S71" s="23">
        <f>mesclun_sched[[#This Row],[perm_hrs_1]]*farmer_wage+mesclun_sched[[#This Row],[temp_hrs_1]]*temp_wage</f>
        <v>25515.130062369179</v>
      </c>
      <c r="T71" s="23">
        <f>mesclun_sched[[#This Row],[q_1]]*mesclun_crop_fert</f>
        <v>12320</v>
      </c>
      <c r="U71" s="23">
        <f>mesclun_sched[[#This Row],[labor_1]]+mesclun_sched[[#This Row],[fert_1]]</f>
        <v>37835.130062369179</v>
      </c>
      <c r="V71" s="23">
        <f>MAX(mesclun_sched[[#This Row],[q]]-2,0)</f>
        <v>13</v>
      </c>
      <c r="W71" s="23">
        <f>mesclun_sched[[#This Row],[q_2]]*mesclun_crop_hrswk*season_weeks*(1+mesclun_crop_dim)^mesclun_sched[[#This Row],[q_2]]</f>
        <v>687.52941027880343</v>
      </c>
      <c r="X71" s="23">
        <f>MIN(mesclun_sched[[#This Row],[hrs_2]],farmer_hrs_field)</f>
        <v>687.52941027880343</v>
      </c>
      <c r="Y71" s="23">
        <f>mesclun_sched[[#This Row],[hrs_2]]-mesclun_sched[[#This Row],[perm_hrs_2]]</f>
        <v>0</v>
      </c>
      <c r="Z71" s="23">
        <f>mesclun_sched[[#This Row],[perm_hrs_2]]*farmer_wage+mesclun_sched[[#This Row],[temp_hrs_2]]*temp_wage</f>
        <v>23872.548968014009</v>
      </c>
      <c r="AA71" s="23">
        <f>mesclun_sched[[#This Row],[q_2]]*mesclun_crop_fert</f>
        <v>11440</v>
      </c>
      <c r="AB71" s="23">
        <f>mesclun_sched[[#This Row],[labor_2]]+mesclun_sched[[#This Row],[fert_2]]</f>
        <v>35312.548968014009</v>
      </c>
      <c r="AC71" s="23">
        <f>IF(mesclun_sched[[#This Row],[q]]&lt;=1,"",mesclun_sched[[#This Row],[vc_1]]-mesclun_sched[[#This Row],[vc_2]])</f>
        <v>2522.5810943551696</v>
      </c>
    </row>
    <row r="72" spans="1:29" x14ac:dyDescent="0.2">
      <c r="A72" s="7">
        <v>16</v>
      </c>
      <c r="B72" s="23">
        <f>mesclun_sched[[#This Row],[q]]*mesclun_crop_hrswk*season_weeks*(1+mesclun_crop_dim)^mesclun_sched[[#This Row],[q]]</f>
        <v>878.32047434610013</v>
      </c>
      <c r="C72" s="23">
        <f>MIN(mesclun_sched[[#This Row],[hrs]],farmer_hrs_field)</f>
        <v>720</v>
      </c>
      <c r="D72" s="23">
        <f>mesclun_sched[[#This Row],[hrs]]-mesclun_sched[[#This Row],[perm_hrs]]</f>
        <v>158.32047434610013</v>
      </c>
      <c r="E72" s="24">
        <f>mesclun_sched[[#This Row],[perm_hrs]]*farmer_wage+mesclun_sched[[#This Row],[temp_hrs]]*temp_wage</f>
        <v>27748.619346286461</v>
      </c>
      <c r="F72" s="24">
        <f>mesclun_sched[[#This Row],[q]]*mesclun_crop_fert</f>
        <v>14080</v>
      </c>
      <c r="G72" s="24">
        <f>mesclun_sched[[#This Row],[labor]]+mesclun_sched[[#This Row],[fert]]</f>
        <v>41828.619346286461</v>
      </c>
      <c r="H72" s="24">
        <f>mesclun_sched[[#This Row],[vc]]+fixed_costs</f>
        <v>61828.619346286461</v>
      </c>
      <c r="I72" s="24">
        <f>IF(mesclun_sched[[#This Row],[q]]=0,"",mesclun_sched[[#This Row],[vc]]-mesclun_sched[[#This Row],[vc_1]])</f>
        <v>2009.5273589841818</v>
      </c>
      <c r="J72" s="24">
        <f>IF(mesclun_sched[[#This Row],[q]]=0,"",mesclun_sched[[#This Row],[vc]]/mesclun_sched[[#This Row],[q]])</f>
        <v>2614.2887091429038</v>
      </c>
      <c r="K72" s="24">
        <f>IF(mesclun_sched[[#This Row],[q]]=0,"",mesclun_sched[[#This Row],[tc]]/mesclun_sched[[#This Row],[q]])</f>
        <v>3864.2887091429038</v>
      </c>
      <c r="L72" s="24">
        <f>mesclun_crop_price</f>
        <v>2700</v>
      </c>
      <c r="M72" s="25">
        <f>IF(mesclun_sched[[#This Row],[q]]=0,1,IF(mesclun_sched[[#This Row],[mc]]&lt;=mesclun_sched[[#This Row],[price]],1,0))</f>
        <v>1</v>
      </c>
      <c r="N72" s="25">
        <f>IF(mesclun_sched[[#This Row],[q]]&lt;=1,"",IF(mesclun_sched[[#This Row],[mc]]&lt;mesclun_sched[[#This Row],[mc_1]],1,0))</f>
        <v>0</v>
      </c>
      <c r="O72" s="10">
        <f>MAX(mesclun_sched[[#This Row],[q]]-1,0)</f>
        <v>15</v>
      </c>
      <c r="P72" s="23">
        <f>mesclun_sched[[#This Row],[q_1]]*mesclun_crop_hrswk*season_weeks*(1+mesclun_crop_dim)^mesclun_sched[[#This Row],[q_1]]</f>
        <v>813.25969846861108</v>
      </c>
      <c r="Q72" s="23">
        <f>MIN(mesclun_sched[[#This Row],[hrs_1]],farmer_hrs_field)</f>
        <v>720</v>
      </c>
      <c r="R72" s="23">
        <f>mesclun_sched[[#This Row],[hrs_1]]-mesclun_sched[[#This Row],[perm_hrs_1]]</f>
        <v>93.259698468611077</v>
      </c>
      <c r="S72" s="23">
        <f>mesclun_sched[[#This Row],[perm_hrs_1]]*farmer_wage+mesclun_sched[[#This Row],[temp_hrs_1]]*temp_wage</f>
        <v>26619.091987302276</v>
      </c>
      <c r="T72" s="23">
        <f>mesclun_sched[[#This Row],[q_1]]*mesclun_crop_fert</f>
        <v>13200</v>
      </c>
      <c r="U72" s="23">
        <f>mesclun_sched[[#This Row],[labor_1]]+mesclun_sched[[#This Row],[fert_1]]</f>
        <v>39819.091987302279</v>
      </c>
      <c r="V72" s="23">
        <f>MAX(mesclun_sched[[#This Row],[q]]-2,0)</f>
        <v>14</v>
      </c>
      <c r="W72" s="23">
        <f>mesclun_sched[[#This Row],[q_2]]*mesclun_crop_hrswk*season_weeks*(1+mesclun_crop_dim)^mesclun_sched[[#This Row],[q_2]]</f>
        <v>749.67149159246469</v>
      </c>
      <c r="X72" s="23">
        <f>MIN(mesclun_sched[[#This Row],[hrs_2]],farmer_hrs_field)</f>
        <v>720</v>
      </c>
      <c r="Y72" s="23">
        <f>mesclun_sched[[#This Row],[hrs_2]]-mesclun_sched[[#This Row],[perm_hrs_2]]</f>
        <v>29.67149159246469</v>
      </c>
      <c r="Z72" s="23">
        <f>mesclun_sched[[#This Row],[perm_hrs_2]]*farmer_wage+mesclun_sched[[#This Row],[temp_hrs_2]]*temp_wage</f>
        <v>25515.130062369179</v>
      </c>
      <c r="AA72" s="23">
        <f>mesclun_sched[[#This Row],[q_2]]*mesclun_crop_fert</f>
        <v>12320</v>
      </c>
      <c r="AB72" s="23">
        <f>mesclun_sched[[#This Row],[labor_2]]+mesclun_sched[[#This Row],[fert_2]]</f>
        <v>37835.130062369179</v>
      </c>
      <c r="AC72" s="23">
        <f>IF(mesclun_sched[[#This Row],[q]]&lt;=1,"",mesclun_sched[[#This Row],[vc_1]]-mesclun_sched[[#This Row],[vc_2]])</f>
        <v>1983.9619249331008</v>
      </c>
    </row>
    <row r="73" spans="1:29" x14ac:dyDescent="0.2">
      <c r="A73" s="7">
        <v>17</v>
      </c>
      <c r="B73" s="23">
        <f>mesclun_sched[[#This Row],[q]]*mesclun_crop_hrswk*season_weeks*(1+mesclun_crop_dim)^mesclun_sched[[#This Row],[q]]</f>
        <v>944.88069779264049</v>
      </c>
      <c r="C73" s="23">
        <f>MIN(mesclun_sched[[#This Row],[hrs]],farmer_hrs_field)</f>
        <v>720</v>
      </c>
      <c r="D73" s="23">
        <f>mesclun_sched[[#This Row],[hrs]]-mesclun_sched[[#This Row],[perm_hrs]]</f>
        <v>224.88069779264049</v>
      </c>
      <c r="E73" s="24">
        <f>mesclun_sched[[#This Row],[perm_hrs]]*farmer_wage+mesclun_sched[[#This Row],[temp_hrs]]*temp_wage</f>
        <v>28904.178781122231</v>
      </c>
      <c r="F73" s="24">
        <f>mesclun_sched[[#This Row],[q]]*mesclun_crop_fert</f>
        <v>14960</v>
      </c>
      <c r="G73" s="24">
        <f>mesclun_sched[[#This Row],[labor]]+mesclun_sched[[#This Row],[fert]]</f>
        <v>43864.178781122231</v>
      </c>
      <c r="H73" s="24">
        <f>mesclun_sched[[#This Row],[vc]]+fixed_costs</f>
        <v>63864.178781122231</v>
      </c>
      <c r="I73" s="24">
        <f>IF(mesclun_sched[[#This Row],[q]]=0,"",mesclun_sched[[#This Row],[vc]]-mesclun_sched[[#This Row],[vc_1]])</f>
        <v>2035.5594348357699</v>
      </c>
      <c r="J73" s="24">
        <f>IF(mesclun_sched[[#This Row],[q]]=0,"",mesclun_sched[[#This Row],[vc]]/mesclun_sched[[#This Row],[q]])</f>
        <v>2580.245810654249</v>
      </c>
      <c r="K73" s="24">
        <f>IF(mesclun_sched[[#This Row],[q]]=0,"",mesclun_sched[[#This Row],[tc]]/mesclun_sched[[#This Row],[q]])</f>
        <v>3756.7163988895431</v>
      </c>
      <c r="L73" s="24">
        <f>mesclun_crop_price</f>
        <v>2700</v>
      </c>
      <c r="M73" s="25">
        <f>IF(mesclun_sched[[#This Row],[q]]=0,1,IF(mesclun_sched[[#This Row],[mc]]&lt;=mesclun_sched[[#This Row],[price]],1,0))</f>
        <v>1</v>
      </c>
      <c r="N73" s="25">
        <f>IF(mesclun_sched[[#This Row],[q]]&lt;=1,"",IF(mesclun_sched[[#This Row],[mc]]&lt;mesclun_sched[[#This Row],[mc_1]],1,0))</f>
        <v>0</v>
      </c>
      <c r="O73" s="10">
        <f>MAX(mesclun_sched[[#This Row],[q]]-1,0)</f>
        <v>16</v>
      </c>
      <c r="P73" s="23">
        <f>mesclun_sched[[#This Row],[q_1]]*mesclun_crop_hrswk*season_weeks*(1+mesclun_crop_dim)^mesclun_sched[[#This Row],[q_1]]</f>
        <v>878.32047434610013</v>
      </c>
      <c r="Q73" s="23">
        <f>MIN(mesclun_sched[[#This Row],[hrs_1]],farmer_hrs_field)</f>
        <v>720</v>
      </c>
      <c r="R73" s="23">
        <f>mesclun_sched[[#This Row],[hrs_1]]-mesclun_sched[[#This Row],[perm_hrs_1]]</f>
        <v>158.32047434610013</v>
      </c>
      <c r="S73" s="23">
        <f>mesclun_sched[[#This Row],[perm_hrs_1]]*farmer_wage+mesclun_sched[[#This Row],[temp_hrs_1]]*temp_wage</f>
        <v>27748.619346286461</v>
      </c>
      <c r="T73" s="23">
        <f>mesclun_sched[[#This Row],[q_1]]*mesclun_crop_fert</f>
        <v>14080</v>
      </c>
      <c r="U73" s="23">
        <f>mesclun_sched[[#This Row],[labor_1]]+mesclun_sched[[#This Row],[fert_1]]</f>
        <v>41828.619346286461</v>
      </c>
      <c r="V73" s="23">
        <f>MAX(mesclun_sched[[#This Row],[q]]-2,0)</f>
        <v>15</v>
      </c>
      <c r="W73" s="23">
        <f>mesclun_sched[[#This Row],[q_2]]*mesclun_crop_hrswk*season_weeks*(1+mesclun_crop_dim)^mesclun_sched[[#This Row],[q_2]]</f>
        <v>813.25969846861108</v>
      </c>
      <c r="X73" s="23">
        <f>MIN(mesclun_sched[[#This Row],[hrs_2]],farmer_hrs_field)</f>
        <v>720</v>
      </c>
      <c r="Y73" s="23">
        <f>mesclun_sched[[#This Row],[hrs_2]]-mesclun_sched[[#This Row],[perm_hrs_2]]</f>
        <v>93.259698468611077</v>
      </c>
      <c r="Z73" s="23">
        <f>mesclun_sched[[#This Row],[perm_hrs_2]]*farmer_wage+mesclun_sched[[#This Row],[temp_hrs_2]]*temp_wage</f>
        <v>26619.091987302276</v>
      </c>
      <c r="AA73" s="23">
        <f>mesclun_sched[[#This Row],[q_2]]*mesclun_crop_fert</f>
        <v>13200</v>
      </c>
      <c r="AB73" s="23">
        <f>mesclun_sched[[#This Row],[labor_2]]+mesclun_sched[[#This Row],[fert_2]]</f>
        <v>39819.091987302279</v>
      </c>
      <c r="AC73" s="23">
        <f>IF(mesclun_sched[[#This Row],[q]]&lt;=1,"",mesclun_sched[[#This Row],[vc_1]]-mesclun_sched[[#This Row],[vc_2]])</f>
        <v>2009.5273589841818</v>
      </c>
    </row>
    <row r="74" spans="1:29" x14ac:dyDescent="0.2">
      <c r="A74" s="7">
        <v>18</v>
      </c>
      <c r="B74" s="23">
        <f>mesclun_sched[[#This Row],[q]]*mesclun_crop_hrswk*season_weeks*(1+mesclun_crop_dim)^mesclun_sched[[#This Row],[q]]</f>
        <v>1012.9676892512279</v>
      </c>
      <c r="C74" s="23">
        <f>MIN(mesclun_sched[[#This Row],[hrs]],farmer_hrs_field)</f>
        <v>720</v>
      </c>
      <c r="D74" s="23">
        <f>mesclun_sched[[#This Row],[hrs]]-mesclun_sched[[#This Row],[perm_hrs]]</f>
        <v>292.96768925122785</v>
      </c>
      <c r="E74" s="24">
        <f>mesclun_sched[[#This Row],[perm_hrs]]*farmer_wage+mesclun_sched[[#This Row],[temp_hrs]]*temp_wage</f>
        <v>30086.244605056039</v>
      </c>
      <c r="F74" s="24">
        <f>mesclun_sched[[#This Row],[q]]*mesclun_crop_fert</f>
        <v>15840</v>
      </c>
      <c r="G74" s="24">
        <f>mesclun_sched[[#This Row],[labor]]+mesclun_sched[[#This Row],[fert]]</f>
        <v>45926.244605056039</v>
      </c>
      <c r="H74" s="24">
        <f>mesclun_sched[[#This Row],[vc]]+fixed_costs</f>
        <v>65926.244605056039</v>
      </c>
      <c r="I74" s="24">
        <f>IF(mesclun_sched[[#This Row],[q]]=0,"",mesclun_sched[[#This Row],[vc]]-mesclun_sched[[#This Row],[vc_1]])</f>
        <v>2062.0658239338081</v>
      </c>
      <c r="J74" s="24">
        <f>IF(mesclun_sched[[#This Row],[q]]=0,"",mesclun_sched[[#This Row],[vc]]/mesclun_sched[[#This Row],[q]])</f>
        <v>2551.4580336142244</v>
      </c>
      <c r="K74" s="24">
        <f>IF(mesclun_sched[[#This Row],[q]]=0,"",mesclun_sched[[#This Row],[tc]]/mesclun_sched[[#This Row],[q]])</f>
        <v>3662.5691447253357</v>
      </c>
      <c r="L74" s="24">
        <f>mesclun_crop_price</f>
        <v>2700</v>
      </c>
      <c r="M74" s="25">
        <f>IF(mesclun_sched[[#This Row],[q]]=0,1,IF(mesclun_sched[[#This Row],[mc]]&lt;=mesclun_sched[[#This Row],[price]],1,0))</f>
        <v>1</v>
      </c>
      <c r="N74" s="25">
        <f>IF(mesclun_sched[[#This Row],[q]]&lt;=1,"",IF(mesclun_sched[[#This Row],[mc]]&lt;mesclun_sched[[#This Row],[mc_1]],1,0))</f>
        <v>0</v>
      </c>
      <c r="O74" s="10">
        <f>MAX(mesclun_sched[[#This Row],[q]]-1,0)</f>
        <v>17</v>
      </c>
      <c r="P74" s="23">
        <f>mesclun_sched[[#This Row],[q_1]]*mesclun_crop_hrswk*season_weeks*(1+mesclun_crop_dim)^mesclun_sched[[#This Row],[q_1]]</f>
        <v>944.88069779264049</v>
      </c>
      <c r="Q74" s="23">
        <f>MIN(mesclun_sched[[#This Row],[hrs_1]],farmer_hrs_field)</f>
        <v>720</v>
      </c>
      <c r="R74" s="23">
        <f>mesclun_sched[[#This Row],[hrs_1]]-mesclun_sched[[#This Row],[perm_hrs_1]]</f>
        <v>224.88069779264049</v>
      </c>
      <c r="S74" s="23">
        <f>mesclun_sched[[#This Row],[perm_hrs_1]]*farmer_wage+mesclun_sched[[#This Row],[temp_hrs_1]]*temp_wage</f>
        <v>28904.178781122231</v>
      </c>
      <c r="T74" s="23">
        <f>mesclun_sched[[#This Row],[q_1]]*mesclun_crop_fert</f>
        <v>14960</v>
      </c>
      <c r="U74" s="23">
        <f>mesclun_sched[[#This Row],[labor_1]]+mesclun_sched[[#This Row],[fert_1]]</f>
        <v>43864.178781122231</v>
      </c>
      <c r="V74" s="23">
        <f>MAX(mesclun_sched[[#This Row],[q]]-2,0)</f>
        <v>16</v>
      </c>
      <c r="W74" s="23">
        <f>mesclun_sched[[#This Row],[q_2]]*mesclun_crop_hrswk*season_weeks*(1+mesclun_crop_dim)^mesclun_sched[[#This Row],[q_2]]</f>
        <v>878.32047434610013</v>
      </c>
      <c r="X74" s="23">
        <f>MIN(mesclun_sched[[#This Row],[hrs_2]],farmer_hrs_field)</f>
        <v>720</v>
      </c>
      <c r="Y74" s="23">
        <f>mesclun_sched[[#This Row],[hrs_2]]-mesclun_sched[[#This Row],[perm_hrs_2]]</f>
        <v>158.32047434610013</v>
      </c>
      <c r="Z74" s="23">
        <f>mesclun_sched[[#This Row],[perm_hrs_2]]*farmer_wage+mesclun_sched[[#This Row],[temp_hrs_2]]*temp_wage</f>
        <v>27748.619346286461</v>
      </c>
      <c r="AA74" s="23">
        <f>mesclun_sched[[#This Row],[q_2]]*mesclun_crop_fert</f>
        <v>14080</v>
      </c>
      <c r="AB74" s="23">
        <f>mesclun_sched[[#This Row],[labor_2]]+mesclun_sched[[#This Row],[fert_2]]</f>
        <v>41828.619346286461</v>
      </c>
      <c r="AC74" s="23">
        <f>IF(mesclun_sched[[#This Row],[q]]&lt;=1,"",mesclun_sched[[#This Row],[vc_1]]-mesclun_sched[[#This Row],[vc_2]])</f>
        <v>2035.5594348357699</v>
      </c>
    </row>
    <row r="75" spans="1:29" x14ac:dyDescent="0.2">
      <c r="A75" s="7">
        <v>19</v>
      </c>
      <c r="B75" s="23">
        <f>mesclun_sched[[#This Row],[q]]*mesclun_crop_hrswk*season_weeks*(1+mesclun_crop_dim)^mesclun_sched[[#This Row],[q]]</f>
        <v>1082.6092178872495</v>
      </c>
      <c r="C75" s="23">
        <f>MIN(mesclun_sched[[#This Row],[hrs]],farmer_hrs_field)</f>
        <v>720</v>
      </c>
      <c r="D75" s="23">
        <f>mesclun_sched[[#This Row],[hrs]]-mesclun_sched[[#This Row],[perm_hrs]]</f>
        <v>362.60921788724954</v>
      </c>
      <c r="E75" s="24">
        <f>mesclun_sched[[#This Row],[perm_hrs]]*farmer_wage+mesclun_sched[[#This Row],[temp_hrs]]*temp_wage</f>
        <v>31295.298921653637</v>
      </c>
      <c r="F75" s="24">
        <f>mesclun_sched[[#This Row],[q]]*mesclun_crop_fert</f>
        <v>16720</v>
      </c>
      <c r="G75" s="24">
        <f>mesclun_sched[[#This Row],[labor]]+mesclun_sched[[#This Row],[fert]]</f>
        <v>48015.298921653637</v>
      </c>
      <c r="H75" s="24">
        <f>mesclun_sched[[#This Row],[vc]]+fixed_costs</f>
        <v>68015.298921653637</v>
      </c>
      <c r="I75" s="24">
        <f>IF(mesclun_sched[[#This Row],[q]]=0,"",mesclun_sched[[#This Row],[vc]]-mesclun_sched[[#This Row],[vc_1]])</f>
        <v>2089.0543165975978</v>
      </c>
      <c r="J75" s="24">
        <f>IF(mesclun_sched[[#This Row],[q]]=0,"",mesclun_sched[[#This Row],[vc]]/mesclun_sched[[#This Row],[q]])</f>
        <v>2527.1209958765071</v>
      </c>
      <c r="K75" s="24">
        <f>IF(mesclun_sched[[#This Row],[q]]=0,"",mesclun_sched[[#This Row],[tc]]/mesclun_sched[[#This Row],[q]])</f>
        <v>3579.7525748238754</v>
      </c>
      <c r="L75" s="24">
        <f>mesclun_crop_price</f>
        <v>2700</v>
      </c>
      <c r="M75" s="25">
        <f>IF(mesclun_sched[[#This Row],[q]]=0,1,IF(mesclun_sched[[#This Row],[mc]]&lt;=mesclun_sched[[#This Row],[price]],1,0))</f>
        <v>1</v>
      </c>
      <c r="N75" s="25">
        <f>IF(mesclun_sched[[#This Row],[q]]&lt;=1,"",IF(mesclun_sched[[#This Row],[mc]]&lt;mesclun_sched[[#This Row],[mc_1]],1,0))</f>
        <v>0</v>
      </c>
      <c r="O75" s="10">
        <f>MAX(mesclun_sched[[#This Row],[q]]-1,0)</f>
        <v>18</v>
      </c>
      <c r="P75" s="23">
        <f>mesclun_sched[[#This Row],[q_1]]*mesclun_crop_hrswk*season_weeks*(1+mesclun_crop_dim)^mesclun_sched[[#This Row],[q_1]]</f>
        <v>1012.9676892512279</v>
      </c>
      <c r="Q75" s="23">
        <f>MIN(mesclun_sched[[#This Row],[hrs_1]],farmer_hrs_field)</f>
        <v>720</v>
      </c>
      <c r="R75" s="23">
        <f>mesclun_sched[[#This Row],[hrs_1]]-mesclun_sched[[#This Row],[perm_hrs_1]]</f>
        <v>292.96768925122785</v>
      </c>
      <c r="S75" s="23">
        <f>mesclun_sched[[#This Row],[perm_hrs_1]]*farmer_wage+mesclun_sched[[#This Row],[temp_hrs_1]]*temp_wage</f>
        <v>30086.244605056039</v>
      </c>
      <c r="T75" s="23">
        <f>mesclun_sched[[#This Row],[q_1]]*mesclun_crop_fert</f>
        <v>15840</v>
      </c>
      <c r="U75" s="23">
        <f>mesclun_sched[[#This Row],[labor_1]]+mesclun_sched[[#This Row],[fert_1]]</f>
        <v>45926.244605056039</v>
      </c>
      <c r="V75" s="23">
        <f>MAX(mesclun_sched[[#This Row],[q]]-2,0)</f>
        <v>17</v>
      </c>
      <c r="W75" s="23">
        <f>mesclun_sched[[#This Row],[q_2]]*mesclun_crop_hrswk*season_weeks*(1+mesclun_crop_dim)^mesclun_sched[[#This Row],[q_2]]</f>
        <v>944.88069779264049</v>
      </c>
      <c r="X75" s="23">
        <f>MIN(mesclun_sched[[#This Row],[hrs_2]],farmer_hrs_field)</f>
        <v>720</v>
      </c>
      <c r="Y75" s="23">
        <f>mesclun_sched[[#This Row],[hrs_2]]-mesclun_sched[[#This Row],[perm_hrs_2]]</f>
        <v>224.88069779264049</v>
      </c>
      <c r="Z75" s="23">
        <f>mesclun_sched[[#This Row],[perm_hrs_2]]*farmer_wage+mesclun_sched[[#This Row],[temp_hrs_2]]*temp_wage</f>
        <v>28904.178781122231</v>
      </c>
      <c r="AA75" s="23">
        <f>mesclun_sched[[#This Row],[q_2]]*mesclun_crop_fert</f>
        <v>14960</v>
      </c>
      <c r="AB75" s="23">
        <f>mesclun_sched[[#This Row],[labor_2]]+mesclun_sched[[#This Row],[fert_2]]</f>
        <v>43864.178781122231</v>
      </c>
      <c r="AC75" s="23">
        <f>IF(mesclun_sched[[#This Row],[q]]&lt;=1,"",mesclun_sched[[#This Row],[vc_1]]-mesclun_sched[[#This Row],[vc_2]])</f>
        <v>2062.0658239338081</v>
      </c>
    </row>
    <row r="76" spans="1:29" x14ac:dyDescent="0.2">
      <c r="A76" s="7">
        <v>20</v>
      </c>
      <c r="B76" s="23">
        <f>mesclun_sched[[#This Row],[q]]*mesclun_crop_hrswk*season_weeks*(1+mesclun_crop_dim)^mesclun_sched[[#This Row],[q]]</f>
        <v>1153.8335085377266</v>
      </c>
      <c r="C76" s="23">
        <f>MIN(mesclun_sched[[#This Row],[hrs]],farmer_hrs_field)</f>
        <v>720</v>
      </c>
      <c r="D76" s="23">
        <f>mesclun_sched[[#This Row],[hrs]]-mesclun_sched[[#This Row],[perm_hrs]]</f>
        <v>433.83350853772663</v>
      </c>
      <c r="E76" s="24">
        <f>mesclun_sched[[#This Row],[perm_hrs]]*farmer_wage+mesclun_sched[[#This Row],[temp_hrs]]*temp_wage</f>
        <v>32531.831745446641</v>
      </c>
      <c r="F76" s="24">
        <f>mesclun_sched[[#This Row],[q]]*mesclun_crop_fert</f>
        <v>17600</v>
      </c>
      <c r="G76" s="24">
        <f>mesclun_sched[[#This Row],[labor]]+mesclun_sched[[#This Row],[fert]]</f>
        <v>50131.831745446645</v>
      </c>
      <c r="H76" s="24">
        <f>mesclun_sched[[#This Row],[vc]]+fixed_costs</f>
        <v>70131.831745446645</v>
      </c>
      <c r="I76" s="24">
        <f>IF(mesclun_sched[[#This Row],[q]]=0,"",mesclun_sched[[#This Row],[vc]]-mesclun_sched[[#This Row],[vc_1]])</f>
        <v>2116.532823793008</v>
      </c>
      <c r="J76" s="24">
        <f>IF(mesclun_sched[[#This Row],[q]]=0,"",mesclun_sched[[#This Row],[vc]]/mesclun_sched[[#This Row],[q]])</f>
        <v>2506.5915872723322</v>
      </c>
      <c r="K76" s="24">
        <f>IF(mesclun_sched[[#This Row],[q]]=0,"",mesclun_sched[[#This Row],[tc]]/mesclun_sched[[#This Row],[q]])</f>
        <v>3506.5915872723322</v>
      </c>
      <c r="L76" s="24">
        <f>mesclun_crop_price</f>
        <v>2700</v>
      </c>
      <c r="M76" s="25">
        <f>IF(mesclun_sched[[#This Row],[q]]=0,1,IF(mesclun_sched[[#This Row],[mc]]&lt;=mesclun_sched[[#This Row],[price]],1,0))</f>
        <v>1</v>
      </c>
      <c r="N76" s="25">
        <f>IF(mesclun_sched[[#This Row],[q]]&lt;=1,"",IF(mesclun_sched[[#This Row],[mc]]&lt;mesclun_sched[[#This Row],[mc_1]],1,0))</f>
        <v>0</v>
      </c>
      <c r="O76" s="10">
        <f>MAX(mesclun_sched[[#This Row],[q]]-1,0)</f>
        <v>19</v>
      </c>
      <c r="P76" s="23">
        <f>mesclun_sched[[#This Row],[q_1]]*mesclun_crop_hrswk*season_weeks*(1+mesclun_crop_dim)^mesclun_sched[[#This Row],[q_1]]</f>
        <v>1082.6092178872495</v>
      </c>
      <c r="Q76" s="23">
        <f>MIN(mesclun_sched[[#This Row],[hrs_1]],farmer_hrs_field)</f>
        <v>720</v>
      </c>
      <c r="R76" s="23">
        <f>mesclun_sched[[#This Row],[hrs_1]]-mesclun_sched[[#This Row],[perm_hrs_1]]</f>
        <v>362.60921788724954</v>
      </c>
      <c r="S76" s="23">
        <f>mesclun_sched[[#This Row],[perm_hrs_1]]*farmer_wage+mesclun_sched[[#This Row],[temp_hrs_1]]*temp_wage</f>
        <v>31295.298921653637</v>
      </c>
      <c r="T76" s="23">
        <f>mesclun_sched[[#This Row],[q_1]]*mesclun_crop_fert</f>
        <v>16720</v>
      </c>
      <c r="U76" s="23">
        <f>mesclun_sched[[#This Row],[labor_1]]+mesclun_sched[[#This Row],[fert_1]]</f>
        <v>48015.298921653637</v>
      </c>
      <c r="V76" s="23">
        <f>MAX(mesclun_sched[[#This Row],[q]]-2,0)</f>
        <v>18</v>
      </c>
      <c r="W76" s="23">
        <f>mesclun_sched[[#This Row],[q_2]]*mesclun_crop_hrswk*season_weeks*(1+mesclun_crop_dim)^mesclun_sched[[#This Row],[q_2]]</f>
        <v>1012.9676892512279</v>
      </c>
      <c r="X76" s="23">
        <f>MIN(mesclun_sched[[#This Row],[hrs_2]],farmer_hrs_field)</f>
        <v>720</v>
      </c>
      <c r="Y76" s="23">
        <f>mesclun_sched[[#This Row],[hrs_2]]-mesclun_sched[[#This Row],[perm_hrs_2]]</f>
        <v>292.96768925122785</v>
      </c>
      <c r="Z76" s="23">
        <f>mesclun_sched[[#This Row],[perm_hrs_2]]*farmer_wage+mesclun_sched[[#This Row],[temp_hrs_2]]*temp_wage</f>
        <v>30086.244605056039</v>
      </c>
      <c r="AA76" s="23">
        <f>mesclun_sched[[#This Row],[q_2]]*mesclun_crop_fert</f>
        <v>15840</v>
      </c>
      <c r="AB76" s="23">
        <f>mesclun_sched[[#This Row],[labor_2]]+mesclun_sched[[#This Row],[fert_2]]</f>
        <v>45926.244605056039</v>
      </c>
      <c r="AC76" s="23">
        <f>IF(mesclun_sched[[#This Row],[q]]&lt;=1,"",mesclun_sched[[#This Row],[vc_1]]-mesclun_sched[[#This Row],[vc_2]])</f>
        <v>2089.0543165975978</v>
      </c>
    </row>
    <row r="77" spans="1:29" x14ac:dyDescent="0.2">
      <c r="A77" s="7">
        <v>21</v>
      </c>
      <c r="B77" s="23">
        <f>mesclun_sched[[#This Row],[q]]*mesclun_crop_hrswk*season_weeks*(1+mesclun_crop_dim)^mesclun_sched[[#This Row],[q]]</f>
        <v>1226.6692487641703</v>
      </c>
      <c r="C77" s="23">
        <f>MIN(mesclun_sched[[#This Row],[hrs]],farmer_hrs_field)</f>
        <v>720</v>
      </c>
      <c r="D77" s="23">
        <f>mesclun_sched[[#This Row],[hrs]]-mesclun_sched[[#This Row],[perm_hrs]]</f>
        <v>506.66924876417033</v>
      </c>
      <c r="E77" s="24">
        <f>mesclun_sched[[#This Row],[perm_hrs]]*farmer_wage+mesclun_sched[[#This Row],[temp_hrs]]*temp_wage</f>
        <v>33796.341124377956</v>
      </c>
      <c r="F77" s="24">
        <f>mesclun_sched[[#This Row],[q]]*mesclun_crop_fert</f>
        <v>18480</v>
      </c>
      <c r="G77" s="24">
        <f>mesclun_sched[[#This Row],[labor]]+mesclun_sched[[#This Row],[fert]]</f>
        <v>52276.341124377956</v>
      </c>
      <c r="H77" s="24">
        <f>mesclun_sched[[#This Row],[vc]]+fixed_costs</f>
        <v>72276.341124377956</v>
      </c>
      <c r="I77" s="24">
        <f>IF(mesclun_sched[[#This Row],[q]]=0,"",mesclun_sched[[#This Row],[vc]]-mesclun_sched[[#This Row],[vc_1]])</f>
        <v>2144.5093789313105</v>
      </c>
      <c r="J77" s="24">
        <f>IF(mesclun_sched[[#This Row],[q]]=0,"",mesclun_sched[[#This Row],[vc]]/mesclun_sched[[#This Row],[q]])</f>
        <v>2489.3495773513314</v>
      </c>
      <c r="K77" s="24">
        <f>IF(mesclun_sched[[#This Row],[q]]=0,"",mesclun_sched[[#This Row],[tc]]/mesclun_sched[[#This Row],[q]])</f>
        <v>3441.7305297322837</v>
      </c>
      <c r="L77" s="24">
        <f>mesclun_crop_price</f>
        <v>2700</v>
      </c>
      <c r="M77" s="25">
        <f>IF(mesclun_sched[[#This Row],[q]]=0,1,IF(mesclun_sched[[#This Row],[mc]]&lt;=mesclun_sched[[#This Row],[price]],1,0))</f>
        <v>1</v>
      </c>
      <c r="N77" s="25">
        <f>IF(mesclun_sched[[#This Row],[q]]&lt;=1,"",IF(mesclun_sched[[#This Row],[mc]]&lt;mesclun_sched[[#This Row],[mc_1]],1,0))</f>
        <v>0</v>
      </c>
      <c r="O77" s="10">
        <f>MAX(mesclun_sched[[#This Row],[q]]-1,0)</f>
        <v>20</v>
      </c>
      <c r="P77" s="23">
        <f>mesclun_sched[[#This Row],[q_1]]*mesclun_crop_hrswk*season_weeks*(1+mesclun_crop_dim)^mesclun_sched[[#This Row],[q_1]]</f>
        <v>1153.8335085377266</v>
      </c>
      <c r="Q77" s="23">
        <f>MIN(mesclun_sched[[#This Row],[hrs_1]],farmer_hrs_field)</f>
        <v>720</v>
      </c>
      <c r="R77" s="23">
        <f>mesclun_sched[[#This Row],[hrs_1]]-mesclun_sched[[#This Row],[perm_hrs_1]]</f>
        <v>433.83350853772663</v>
      </c>
      <c r="S77" s="23">
        <f>mesclun_sched[[#This Row],[perm_hrs_1]]*farmer_wage+mesclun_sched[[#This Row],[temp_hrs_1]]*temp_wage</f>
        <v>32531.831745446641</v>
      </c>
      <c r="T77" s="23">
        <f>mesclun_sched[[#This Row],[q_1]]*mesclun_crop_fert</f>
        <v>17600</v>
      </c>
      <c r="U77" s="23">
        <f>mesclun_sched[[#This Row],[labor_1]]+mesclun_sched[[#This Row],[fert_1]]</f>
        <v>50131.831745446645</v>
      </c>
      <c r="V77" s="23">
        <f>MAX(mesclun_sched[[#This Row],[q]]-2,0)</f>
        <v>19</v>
      </c>
      <c r="W77" s="23">
        <f>mesclun_sched[[#This Row],[q_2]]*mesclun_crop_hrswk*season_weeks*(1+mesclun_crop_dim)^mesclun_sched[[#This Row],[q_2]]</f>
        <v>1082.6092178872495</v>
      </c>
      <c r="X77" s="23">
        <f>MIN(mesclun_sched[[#This Row],[hrs_2]],farmer_hrs_field)</f>
        <v>720</v>
      </c>
      <c r="Y77" s="23">
        <f>mesclun_sched[[#This Row],[hrs_2]]-mesclun_sched[[#This Row],[perm_hrs_2]]</f>
        <v>362.60921788724954</v>
      </c>
      <c r="Z77" s="23">
        <f>mesclun_sched[[#This Row],[perm_hrs_2]]*farmer_wage+mesclun_sched[[#This Row],[temp_hrs_2]]*temp_wage</f>
        <v>31295.298921653637</v>
      </c>
      <c r="AA77" s="23">
        <f>mesclun_sched[[#This Row],[q_2]]*mesclun_crop_fert</f>
        <v>16720</v>
      </c>
      <c r="AB77" s="23">
        <f>mesclun_sched[[#This Row],[labor_2]]+mesclun_sched[[#This Row],[fert_2]]</f>
        <v>48015.298921653637</v>
      </c>
      <c r="AC77" s="23">
        <f>IF(mesclun_sched[[#This Row],[q]]&lt;=1,"",mesclun_sched[[#This Row],[vc_1]]-mesclun_sched[[#This Row],[vc_2]])</f>
        <v>2116.532823793008</v>
      </c>
    </row>
    <row r="78" spans="1:29" x14ac:dyDescent="0.2">
      <c r="A78" s="7">
        <v>22</v>
      </c>
      <c r="B78" s="23">
        <f>mesclun_sched[[#This Row],[q]]*mesclun_crop_hrswk*season_weeks*(1+mesclun_crop_dim)^mesclun_sched[[#This Row],[q]]</f>
        <v>1301.1455960105666</v>
      </c>
      <c r="C78" s="23">
        <f>MIN(mesclun_sched[[#This Row],[hrs]],farmer_hrs_field)</f>
        <v>720</v>
      </c>
      <c r="D78" s="23">
        <f>mesclun_sched[[#This Row],[hrs]]-mesclun_sched[[#This Row],[perm_hrs]]</f>
        <v>581.14559601056658</v>
      </c>
      <c r="E78" s="24">
        <f>mesclun_sched[[#This Row],[perm_hrs]]*farmer_wage+mesclun_sched[[#This Row],[temp_hrs]]*temp_wage</f>
        <v>35089.333264072338</v>
      </c>
      <c r="F78" s="24">
        <f>mesclun_sched[[#This Row],[q]]*mesclun_crop_fert</f>
        <v>19360</v>
      </c>
      <c r="G78" s="24">
        <f>mesclun_sched[[#This Row],[labor]]+mesclun_sched[[#This Row],[fert]]</f>
        <v>54449.333264072338</v>
      </c>
      <c r="H78" s="24">
        <f>mesclun_sched[[#This Row],[vc]]+fixed_costs</f>
        <v>74449.333264072338</v>
      </c>
      <c r="I78" s="24">
        <f>IF(mesclun_sched[[#This Row],[q]]=0,"",mesclun_sched[[#This Row],[vc]]-mesclun_sched[[#This Row],[vc_1]])</f>
        <v>2172.9921396943828</v>
      </c>
      <c r="J78" s="24">
        <f>IF(mesclun_sched[[#This Row],[q]]=0,"",mesclun_sched[[#This Row],[vc]]/mesclun_sched[[#This Row],[q]])</f>
        <v>2474.9696938214697</v>
      </c>
      <c r="K78" s="24">
        <f>IF(mesclun_sched[[#This Row],[q]]=0,"",mesclun_sched[[#This Row],[tc]]/mesclun_sched[[#This Row],[q]])</f>
        <v>3384.0606029123792</v>
      </c>
      <c r="L78" s="24">
        <f>mesclun_crop_price</f>
        <v>2700</v>
      </c>
      <c r="M78" s="25">
        <f>IF(mesclun_sched[[#This Row],[q]]=0,1,IF(mesclun_sched[[#This Row],[mc]]&lt;=mesclun_sched[[#This Row],[price]],1,0))</f>
        <v>1</v>
      </c>
      <c r="N78" s="25">
        <f>IF(mesclun_sched[[#This Row],[q]]&lt;=1,"",IF(mesclun_sched[[#This Row],[mc]]&lt;mesclun_sched[[#This Row],[mc_1]],1,0))</f>
        <v>0</v>
      </c>
      <c r="O78" s="10">
        <f>MAX(mesclun_sched[[#This Row],[q]]-1,0)</f>
        <v>21</v>
      </c>
      <c r="P78" s="23">
        <f>mesclun_sched[[#This Row],[q_1]]*mesclun_crop_hrswk*season_weeks*(1+mesclun_crop_dim)^mesclun_sched[[#This Row],[q_1]]</f>
        <v>1226.6692487641703</v>
      </c>
      <c r="Q78" s="23">
        <f>MIN(mesclun_sched[[#This Row],[hrs_1]],farmer_hrs_field)</f>
        <v>720</v>
      </c>
      <c r="R78" s="23">
        <f>mesclun_sched[[#This Row],[hrs_1]]-mesclun_sched[[#This Row],[perm_hrs_1]]</f>
        <v>506.66924876417033</v>
      </c>
      <c r="S78" s="23">
        <f>mesclun_sched[[#This Row],[perm_hrs_1]]*farmer_wage+mesclun_sched[[#This Row],[temp_hrs_1]]*temp_wage</f>
        <v>33796.341124377956</v>
      </c>
      <c r="T78" s="23">
        <f>mesclun_sched[[#This Row],[q_1]]*mesclun_crop_fert</f>
        <v>18480</v>
      </c>
      <c r="U78" s="23">
        <f>mesclun_sched[[#This Row],[labor_1]]+mesclun_sched[[#This Row],[fert_1]]</f>
        <v>52276.341124377956</v>
      </c>
      <c r="V78" s="23">
        <f>MAX(mesclun_sched[[#This Row],[q]]-2,0)</f>
        <v>20</v>
      </c>
      <c r="W78" s="23">
        <f>mesclun_sched[[#This Row],[q_2]]*mesclun_crop_hrswk*season_weeks*(1+mesclun_crop_dim)^mesclun_sched[[#This Row],[q_2]]</f>
        <v>1153.8335085377266</v>
      </c>
      <c r="X78" s="23">
        <f>MIN(mesclun_sched[[#This Row],[hrs_2]],farmer_hrs_field)</f>
        <v>720</v>
      </c>
      <c r="Y78" s="23">
        <f>mesclun_sched[[#This Row],[hrs_2]]-mesclun_sched[[#This Row],[perm_hrs_2]]</f>
        <v>433.83350853772663</v>
      </c>
      <c r="Z78" s="23">
        <f>mesclun_sched[[#This Row],[perm_hrs_2]]*farmer_wage+mesclun_sched[[#This Row],[temp_hrs_2]]*temp_wage</f>
        <v>32531.831745446641</v>
      </c>
      <c r="AA78" s="23">
        <f>mesclun_sched[[#This Row],[q_2]]*mesclun_crop_fert</f>
        <v>17600</v>
      </c>
      <c r="AB78" s="23">
        <f>mesclun_sched[[#This Row],[labor_2]]+mesclun_sched[[#This Row],[fert_2]]</f>
        <v>50131.831745446645</v>
      </c>
      <c r="AC78" s="23">
        <f>IF(mesclun_sched[[#This Row],[q]]&lt;=1,"",mesclun_sched[[#This Row],[vc_1]]-mesclun_sched[[#This Row],[vc_2]])</f>
        <v>2144.5093789313105</v>
      </c>
    </row>
    <row r="79" spans="1:29" x14ac:dyDescent="0.2">
      <c r="A79" s="7">
        <v>23</v>
      </c>
      <c r="B79" s="23">
        <f>mesclun_sched[[#This Row],[q]]*mesclun_crop_hrswk*season_weeks*(1+mesclun_crop_dim)^mesclun_sched[[#This Row],[q]]</f>
        <v>1377.292184868003</v>
      </c>
      <c r="C79" s="23">
        <f>MIN(mesclun_sched[[#This Row],[hrs]],farmer_hrs_field)</f>
        <v>720</v>
      </c>
      <c r="D79" s="23">
        <f>mesclun_sched[[#This Row],[hrs]]-mesclun_sched[[#This Row],[perm_hrs]]</f>
        <v>657.29218486800301</v>
      </c>
      <c r="E79" s="24">
        <f>mesclun_sched[[#This Row],[perm_hrs]]*farmer_wage+mesclun_sched[[#This Row],[temp_hrs]]*temp_wage</f>
        <v>36411.322653958385</v>
      </c>
      <c r="F79" s="24">
        <f>mesclun_sched[[#This Row],[q]]*mesclun_crop_fert</f>
        <v>20240</v>
      </c>
      <c r="G79" s="24">
        <f>mesclun_sched[[#This Row],[labor]]+mesclun_sched[[#This Row],[fert]]</f>
        <v>56651.322653958385</v>
      </c>
      <c r="H79" s="24">
        <f>mesclun_sched[[#This Row],[vc]]+fixed_costs</f>
        <v>76651.322653958385</v>
      </c>
      <c r="I79" s="24">
        <f>IF(mesclun_sched[[#This Row],[q]]=0,"",mesclun_sched[[#This Row],[vc]]-mesclun_sched[[#This Row],[vc_1]])</f>
        <v>2201.9893898860464</v>
      </c>
      <c r="J79" s="24">
        <f>IF(mesclun_sched[[#This Row],[q]]=0,"",mesclun_sched[[#This Row],[vc]]/mesclun_sched[[#This Row],[q]])</f>
        <v>2463.1009849547122</v>
      </c>
      <c r="K79" s="24">
        <f>IF(mesclun_sched[[#This Row],[q]]=0,"",mesclun_sched[[#This Row],[tc]]/mesclun_sched[[#This Row],[q]])</f>
        <v>3332.6662023460167</v>
      </c>
      <c r="L79" s="24">
        <f>mesclun_crop_price</f>
        <v>2700</v>
      </c>
      <c r="M79" s="25">
        <f>IF(mesclun_sched[[#This Row],[q]]=0,1,IF(mesclun_sched[[#This Row],[mc]]&lt;=mesclun_sched[[#This Row],[price]],1,0))</f>
        <v>1</v>
      </c>
      <c r="N79" s="25">
        <f>IF(mesclun_sched[[#This Row],[q]]&lt;=1,"",IF(mesclun_sched[[#This Row],[mc]]&lt;mesclun_sched[[#This Row],[mc_1]],1,0))</f>
        <v>0</v>
      </c>
      <c r="O79" s="10">
        <f>MAX(mesclun_sched[[#This Row],[q]]-1,0)</f>
        <v>22</v>
      </c>
      <c r="P79" s="23">
        <f>mesclun_sched[[#This Row],[q_1]]*mesclun_crop_hrswk*season_weeks*(1+mesclun_crop_dim)^mesclun_sched[[#This Row],[q_1]]</f>
        <v>1301.1455960105666</v>
      </c>
      <c r="Q79" s="23">
        <f>MIN(mesclun_sched[[#This Row],[hrs_1]],farmer_hrs_field)</f>
        <v>720</v>
      </c>
      <c r="R79" s="23">
        <f>mesclun_sched[[#This Row],[hrs_1]]-mesclun_sched[[#This Row],[perm_hrs_1]]</f>
        <v>581.14559601056658</v>
      </c>
      <c r="S79" s="23">
        <f>mesclun_sched[[#This Row],[perm_hrs_1]]*farmer_wage+mesclun_sched[[#This Row],[temp_hrs_1]]*temp_wage</f>
        <v>35089.333264072338</v>
      </c>
      <c r="T79" s="23">
        <f>mesclun_sched[[#This Row],[q_1]]*mesclun_crop_fert</f>
        <v>19360</v>
      </c>
      <c r="U79" s="23">
        <f>mesclun_sched[[#This Row],[labor_1]]+mesclun_sched[[#This Row],[fert_1]]</f>
        <v>54449.333264072338</v>
      </c>
      <c r="V79" s="23">
        <f>MAX(mesclun_sched[[#This Row],[q]]-2,0)</f>
        <v>21</v>
      </c>
      <c r="W79" s="23">
        <f>mesclun_sched[[#This Row],[q_2]]*mesclun_crop_hrswk*season_weeks*(1+mesclun_crop_dim)^mesclun_sched[[#This Row],[q_2]]</f>
        <v>1226.6692487641703</v>
      </c>
      <c r="X79" s="23">
        <f>MIN(mesclun_sched[[#This Row],[hrs_2]],farmer_hrs_field)</f>
        <v>720</v>
      </c>
      <c r="Y79" s="23">
        <f>mesclun_sched[[#This Row],[hrs_2]]-mesclun_sched[[#This Row],[perm_hrs_2]]</f>
        <v>506.66924876417033</v>
      </c>
      <c r="Z79" s="23">
        <f>mesclun_sched[[#This Row],[perm_hrs_2]]*farmer_wage+mesclun_sched[[#This Row],[temp_hrs_2]]*temp_wage</f>
        <v>33796.341124377956</v>
      </c>
      <c r="AA79" s="23">
        <f>mesclun_sched[[#This Row],[q_2]]*mesclun_crop_fert</f>
        <v>18480</v>
      </c>
      <c r="AB79" s="23">
        <f>mesclun_sched[[#This Row],[labor_2]]+mesclun_sched[[#This Row],[fert_2]]</f>
        <v>52276.341124377956</v>
      </c>
      <c r="AC79" s="23">
        <f>IF(mesclun_sched[[#This Row],[q]]&lt;=1,"",mesclun_sched[[#This Row],[vc_1]]-mesclun_sched[[#This Row],[vc_2]])</f>
        <v>2172.9921396943828</v>
      </c>
    </row>
    <row r="80" spans="1:29" x14ac:dyDescent="0.2">
      <c r="A80" s="7">
        <v>24</v>
      </c>
      <c r="B80" s="23">
        <f>mesclun_sched[[#This Row],[q]]*mesclun_crop_hrswk*season_weeks*(1+mesclun_crop_dim)^mesclun_sched[[#This Row],[q]]</f>
        <v>1455.1391344474989</v>
      </c>
      <c r="C80" s="23">
        <f>MIN(mesclun_sched[[#This Row],[hrs]],farmer_hrs_field)</f>
        <v>720</v>
      </c>
      <c r="D80" s="23">
        <f>mesclun_sched[[#This Row],[hrs]]-mesclun_sched[[#This Row],[perm_hrs]]</f>
        <v>735.13913444749892</v>
      </c>
      <c r="E80" s="24">
        <f>mesclun_sched[[#This Row],[perm_hrs]]*farmer_wage+mesclun_sched[[#This Row],[temp_hrs]]*temp_wage</f>
        <v>37762.832195269075</v>
      </c>
      <c r="F80" s="24">
        <f>mesclun_sched[[#This Row],[q]]*mesclun_crop_fert</f>
        <v>21120</v>
      </c>
      <c r="G80" s="24">
        <f>mesclun_sched[[#This Row],[labor]]+mesclun_sched[[#This Row],[fert]]</f>
        <v>58882.832195269075</v>
      </c>
      <c r="H80" s="24">
        <f>mesclun_sched[[#This Row],[vc]]+fixed_costs</f>
        <v>78882.832195269075</v>
      </c>
      <c r="I80" s="24">
        <f>IF(mesclun_sched[[#This Row],[q]]=0,"",mesclun_sched[[#This Row],[vc]]-mesclun_sched[[#This Row],[vc_1]])</f>
        <v>2231.5095413106901</v>
      </c>
      <c r="J80" s="24">
        <f>IF(mesclun_sched[[#This Row],[q]]=0,"",mesclun_sched[[#This Row],[vc]]/mesclun_sched[[#This Row],[q]])</f>
        <v>2453.4513414695448</v>
      </c>
      <c r="K80" s="24">
        <f>IF(mesclun_sched[[#This Row],[q]]=0,"",mesclun_sched[[#This Row],[tc]]/mesclun_sched[[#This Row],[q]])</f>
        <v>3286.7846748028783</v>
      </c>
      <c r="L80" s="24">
        <f>mesclun_crop_price</f>
        <v>2700</v>
      </c>
      <c r="M80" s="25">
        <f>IF(mesclun_sched[[#This Row],[q]]=0,1,IF(mesclun_sched[[#This Row],[mc]]&lt;=mesclun_sched[[#This Row],[price]],1,0))</f>
        <v>1</v>
      </c>
      <c r="N80" s="25">
        <f>IF(mesclun_sched[[#This Row],[q]]&lt;=1,"",IF(mesclun_sched[[#This Row],[mc]]&lt;mesclun_sched[[#This Row],[mc_1]],1,0))</f>
        <v>0</v>
      </c>
      <c r="O80" s="10">
        <f>MAX(mesclun_sched[[#This Row],[q]]-1,0)</f>
        <v>23</v>
      </c>
      <c r="P80" s="23">
        <f>mesclun_sched[[#This Row],[q_1]]*mesclun_crop_hrswk*season_weeks*(1+mesclun_crop_dim)^mesclun_sched[[#This Row],[q_1]]</f>
        <v>1377.292184868003</v>
      </c>
      <c r="Q80" s="23">
        <f>MIN(mesclun_sched[[#This Row],[hrs_1]],farmer_hrs_field)</f>
        <v>720</v>
      </c>
      <c r="R80" s="23">
        <f>mesclun_sched[[#This Row],[hrs_1]]-mesclun_sched[[#This Row],[perm_hrs_1]]</f>
        <v>657.29218486800301</v>
      </c>
      <c r="S80" s="23">
        <f>mesclun_sched[[#This Row],[perm_hrs_1]]*farmer_wage+mesclun_sched[[#This Row],[temp_hrs_1]]*temp_wage</f>
        <v>36411.322653958385</v>
      </c>
      <c r="T80" s="23">
        <f>mesclun_sched[[#This Row],[q_1]]*mesclun_crop_fert</f>
        <v>20240</v>
      </c>
      <c r="U80" s="23">
        <f>mesclun_sched[[#This Row],[labor_1]]+mesclun_sched[[#This Row],[fert_1]]</f>
        <v>56651.322653958385</v>
      </c>
      <c r="V80" s="23">
        <f>MAX(mesclun_sched[[#This Row],[q]]-2,0)</f>
        <v>22</v>
      </c>
      <c r="W80" s="23">
        <f>mesclun_sched[[#This Row],[q_2]]*mesclun_crop_hrswk*season_weeks*(1+mesclun_crop_dim)^mesclun_sched[[#This Row],[q_2]]</f>
        <v>1301.1455960105666</v>
      </c>
      <c r="X80" s="23">
        <f>MIN(mesclun_sched[[#This Row],[hrs_2]],farmer_hrs_field)</f>
        <v>720</v>
      </c>
      <c r="Y80" s="23">
        <f>mesclun_sched[[#This Row],[hrs_2]]-mesclun_sched[[#This Row],[perm_hrs_2]]</f>
        <v>581.14559601056658</v>
      </c>
      <c r="Z80" s="23">
        <f>mesclun_sched[[#This Row],[perm_hrs_2]]*farmer_wage+mesclun_sched[[#This Row],[temp_hrs_2]]*temp_wage</f>
        <v>35089.333264072338</v>
      </c>
      <c r="AA80" s="23">
        <f>mesclun_sched[[#This Row],[q_2]]*mesclun_crop_fert</f>
        <v>19360</v>
      </c>
      <c r="AB80" s="23">
        <f>mesclun_sched[[#This Row],[labor_2]]+mesclun_sched[[#This Row],[fert_2]]</f>
        <v>54449.333264072338</v>
      </c>
      <c r="AC80" s="23">
        <f>IF(mesclun_sched[[#This Row],[q]]&lt;=1,"",mesclun_sched[[#This Row],[vc_1]]-mesclun_sched[[#This Row],[vc_2]])</f>
        <v>2201.9893898860464</v>
      </c>
    </row>
    <row r="81" spans="1:29" x14ac:dyDescent="0.2">
      <c r="A81" s="7">
        <v>25</v>
      </c>
      <c r="B81" s="23">
        <f>mesclun_sched[[#This Row],[q]]*mesclun_crop_hrswk*season_weeks*(1+mesclun_crop_dim)^mesclun_sched[[#This Row],[q]]</f>
        <v>1534.7170558625965</v>
      </c>
      <c r="C81" s="23">
        <f>MIN(mesclun_sched[[#This Row],[hrs]],farmer_hrs_field)</f>
        <v>720</v>
      </c>
      <c r="D81" s="23">
        <f>mesclun_sched[[#This Row],[hrs]]-mesclun_sched[[#This Row],[perm_hrs]]</f>
        <v>814.71705586259645</v>
      </c>
      <c r="E81" s="24">
        <f>mesclun_sched[[#This Row],[perm_hrs]]*farmer_wage+mesclun_sched[[#This Row],[temp_hrs]]*temp_wage</f>
        <v>39144.393330947853</v>
      </c>
      <c r="F81" s="24">
        <f>mesclun_sched[[#This Row],[q]]*mesclun_crop_fert</f>
        <v>22000</v>
      </c>
      <c r="G81" s="24">
        <f>mesclun_sched[[#This Row],[labor]]+mesclun_sched[[#This Row],[fert]]</f>
        <v>61144.393330947853</v>
      </c>
      <c r="H81" s="24">
        <f>mesclun_sched[[#This Row],[vc]]+fixed_costs</f>
        <v>81144.393330947845</v>
      </c>
      <c r="I81" s="24">
        <f>IF(mesclun_sched[[#This Row],[q]]=0,"",mesclun_sched[[#This Row],[vc]]-mesclun_sched[[#This Row],[vc_1]])</f>
        <v>2261.5611356787776</v>
      </c>
      <c r="J81" s="24">
        <f>IF(mesclun_sched[[#This Row],[q]]=0,"",mesclun_sched[[#This Row],[vc]]/mesclun_sched[[#This Row],[q]])</f>
        <v>2445.7757332379142</v>
      </c>
      <c r="K81" s="24">
        <f>IF(mesclun_sched[[#This Row],[q]]=0,"",mesclun_sched[[#This Row],[tc]]/mesclun_sched[[#This Row],[q]])</f>
        <v>3245.7757332379138</v>
      </c>
      <c r="L81" s="24">
        <f>mesclun_crop_price</f>
        <v>2700</v>
      </c>
      <c r="M81" s="25">
        <f>IF(mesclun_sched[[#This Row],[q]]=0,1,IF(mesclun_sched[[#This Row],[mc]]&lt;=mesclun_sched[[#This Row],[price]],1,0))</f>
        <v>1</v>
      </c>
      <c r="N81" s="25">
        <f>IF(mesclun_sched[[#This Row],[q]]&lt;=1,"",IF(mesclun_sched[[#This Row],[mc]]&lt;mesclun_sched[[#This Row],[mc_1]],1,0))</f>
        <v>0</v>
      </c>
      <c r="O81" s="10">
        <f>MAX(mesclun_sched[[#This Row],[q]]-1,0)</f>
        <v>24</v>
      </c>
      <c r="P81" s="23">
        <f>mesclun_sched[[#This Row],[q_1]]*mesclun_crop_hrswk*season_weeks*(1+mesclun_crop_dim)^mesclun_sched[[#This Row],[q_1]]</f>
        <v>1455.1391344474989</v>
      </c>
      <c r="Q81" s="23">
        <f>MIN(mesclun_sched[[#This Row],[hrs_1]],farmer_hrs_field)</f>
        <v>720</v>
      </c>
      <c r="R81" s="23">
        <f>mesclun_sched[[#This Row],[hrs_1]]-mesclun_sched[[#This Row],[perm_hrs_1]]</f>
        <v>735.13913444749892</v>
      </c>
      <c r="S81" s="23">
        <f>mesclun_sched[[#This Row],[perm_hrs_1]]*farmer_wage+mesclun_sched[[#This Row],[temp_hrs_1]]*temp_wage</f>
        <v>37762.832195269075</v>
      </c>
      <c r="T81" s="23">
        <f>mesclun_sched[[#This Row],[q_1]]*mesclun_crop_fert</f>
        <v>21120</v>
      </c>
      <c r="U81" s="23">
        <f>mesclun_sched[[#This Row],[labor_1]]+mesclun_sched[[#This Row],[fert_1]]</f>
        <v>58882.832195269075</v>
      </c>
      <c r="V81" s="23">
        <f>MAX(mesclun_sched[[#This Row],[q]]-2,0)</f>
        <v>23</v>
      </c>
      <c r="W81" s="23">
        <f>mesclun_sched[[#This Row],[q_2]]*mesclun_crop_hrswk*season_weeks*(1+mesclun_crop_dim)^mesclun_sched[[#This Row],[q_2]]</f>
        <v>1377.292184868003</v>
      </c>
      <c r="X81" s="23">
        <f>MIN(mesclun_sched[[#This Row],[hrs_2]],farmer_hrs_field)</f>
        <v>720</v>
      </c>
      <c r="Y81" s="23">
        <f>mesclun_sched[[#This Row],[hrs_2]]-mesclun_sched[[#This Row],[perm_hrs_2]]</f>
        <v>657.29218486800301</v>
      </c>
      <c r="Z81" s="23">
        <f>mesclun_sched[[#This Row],[perm_hrs_2]]*farmer_wage+mesclun_sched[[#This Row],[temp_hrs_2]]*temp_wage</f>
        <v>36411.322653958385</v>
      </c>
      <c r="AA81" s="23">
        <f>mesclun_sched[[#This Row],[q_2]]*mesclun_crop_fert</f>
        <v>20240</v>
      </c>
      <c r="AB81" s="23">
        <f>mesclun_sched[[#This Row],[labor_2]]+mesclun_sched[[#This Row],[fert_2]]</f>
        <v>56651.322653958385</v>
      </c>
      <c r="AC81" s="23">
        <f>IF(mesclun_sched[[#This Row],[q]]&lt;=1,"",mesclun_sched[[#This Row],[vc_1]]-mesclun_sched[[#This Row],[vc_2]])</f>
        <v>2231.5095413106901</v>
      </c>
    </row>
    <row r="82" spans="1:29" x14ac:dyDescent="0.2">
      <c r="A82" s="7">
        <v>26</v>
      </c>
      <c r="B82" s="23">
        <f>mesclun_sched[[#This Row],[q]]*mesclun_crop_hrswk*season_weeks*(1+mesclun_crop_dim)^mesclun_sched[[#This Row],[q]]</f>
        <v>1616.0570598233144</v>
      </c>
      <c r="C82" s="23">
        <f>MIN(mesclun_sched[[#This Row],[hrs]],farmer_hrs_field)</f>
        <v>720</v>
      </c>
      <c r="D82" s="23">
        <f>mesclun_sched[[#This Row],[hrs]]-mesclun_sched[[#This Row],[perm_hrs]]</f>
        <v>896.05705982331438</v>
      </c>
      <c r="E82" s="24">
        <f>mesclun_sched[[#This Row],[perm_hrs]]*farmer_wage+mesclun_sched[[#This Row],[temp_hrs]]*temp_wage</f>
        <v>40556.546177488097</v>
      </c>
      <c r="F82" s="24">
        <f>mesclun_sched[[#This Row],[q]]*mesclun_crop_fert</f>
        <v>22880</v>
      </c>
      <c r="G82" s="24">
        <f>mesclun_sched[[#This Row],[labor]]+mesclun_sched[[#This Row],[fert]]</f>
        <v>63436.546177488097</v>
      </c>
      <c r="H82" s="24">
        <f>mesclun_sched[[#This Row],[vc]]+fixed_costs</f>
        <v>83436.546177488097</v>
      </c>
      <c r="I82" s="24">
        <f>IF(mesclun_sched[[#This Row],[q]]=0,"",mesclun_sched[[#This Row],[vc]]-mesclun_sched[[#This Row],[vc_1]])</f>
        <v>2292.1528465402444</v>
      </c>
      <c r="J82" s="24">
        <f>IF(mesclun_sched[[#This Row],[q]]=0,"",mesclun_sched[[#This Row],[vc]]/mesclun_sched[[#This Row],[q]])</f>
        <v>2439.8671606726193</v>
      </c>
      <c r="K82" s="24">
        <f>IF(mesclun_sched[[#This Row],[q]]=0,"",mesclun_sched[[#This Row],[tc]]/mesclun_sched[[#This Row],[q]])</f>
        <v>3209.0979299033884</v>
      </c>
      <c r="L82" s="24">
        <f>mesclun_crop_price</f>
        <v>2700</v>
      </c>
      <c r="M82" s="25">
        <f>IF(mesclun_sched[[#This Row],[q]]=0,1,IF(mesclun_sched[[#This Row],[mc]]&lt;=mesclun_sched[[#This Row],[price]],1,0))</f>
        <v>1</v>
      </c>
      <c r="N82" s="25">
        <f>IF(mesclun_sched[[#This Row],[q]]&lt;=1,"",IF(mesclun_sched[[#This Row],[mc]]&lt;mesclun_sched[[#This Row],[mc_1]],1,0))</f>
        <v>0</v>
      </c>
      <c r="O82" s="10">
        <f>MAX(mesclun_sched[[#This Row],[q]]-1,0)</f>
        <v>25</v>
      </c>
      <c r="P82" s="23">
        <f>mesclun_sched[[#This Row],[q_1]]*mesclun_crop_hrswk*season_weeks*(1+mesclun_crop_dim)^mesclun_sched[[#This Row],[q_1]]</f>
        <v>1534.7170558625965</v>
      </c>
      <c r="Q82" s="23">
        <f>MIN(mesclun_sched[[#This Row],[hrs_1]],farmer_hrs_field)</f>
        <v>720</v>
      </c>
      <c r="R82" s="23">
        <f>mesclun_sched[[#This Row],[hrs_1]]-mesclun_sched[[#This Row],[perm_hrs_1]]</f>
        <v>814.71705586259645</v>
      </c>
      <c r="S82" s="23">
        <f>mesclun_sched[[#This Row],[perm_hrs_1]]*farmer_wage+mesclun_sched[[#This Row],[temp_hrs_1]]*temp_wage</f>
        <v>39144.393330947853</v>
      </c>
      <c r="T82" s="23">
        <f>mesclun_sched[[#This Row],[q_1]]*mesclun_crop_fert</f>
        <v>22000</v>
      </c>
      <c r="U82" s="23">
        <f>mesclun_sched[[#This Row],[labor_1]]+mesclun_sched[[#This Row],[fert_1]]</f>
        <v>61144.393330947853</v>
      </c>
      <c r="V82" s="23">
        <f>MAX(mesclun_sched[[#This Row],[q]]-2,0)</f>
        <v>24</v>
      </c>
      <c r="W82" s="23">
        <f>mesclun_sched[[#This Row],[q_2]]*mesclun_crop_hrswk*season_weeks*(1+mesclun_crop_dim)^mesclun_sched[[#This Row],[q_2]]</f>
        <v>1455.1391344474989</v>
      </c>
      <c r="X82" s="23">
        <f>MIN(mesclun_sched[[#This Row],[hrs_2]],farmer_hrs_field)</f>
        <v>720</v>
      </c>
      <c r="Y82" s="23">
        <f>mesclun_sched[[#This Row],[hrs_2]]-mesclun_sched[[#This Row],[perm_hrs_2]]</f>
        <v>735.13913444749892</v>
      </c>
      <c r="Z82" s="23">
        <f>mesclun_sched[[#This Row],[perm_hrs_2]]*farmer_wage+mesclun_sched[[#This Row],[temp_hrs_2]]*temp_wage</f>
        <v>37762.832195269075</v>
      </c>
      <c r="AA82" s="23">
        <f>mesclun_sched[[#This Row],[q_2]]*mesclun_crop_fert</f>
        <v>21120</v>
      </c>
      <c r="AB82" s="23">
        <f>mesclun_sched[[#This Row],[labor_2]]+mesclun_sched[[#This Row],[fert_2]]</f>
        <v>58882.832195269075</v>
      </c>
      <c r="AC82" s="23">
        <f>IF(mesclun_sched[[#This Row],[q]]&lt;=1,"",mesclun_sched[[#This Row],[vc_1]]-mesclun_sched[[#This Row],[vc_2]])</f>
        <v>2261.5611356787776</v>
      </c>
    </row>
    <row r="83" spans="1:29" x14ac:dyDescent="0.2">
      <c r="A83" s="7">
        <v>27</v>
      </c>
      <c r="B83" s="23">
        <f>mesclun_sched[[#This Row],[q]]*mesclun_crop_hrswk*season_weeks*(1+mesclun_crop_dim)^mesclun_sched[[#This Row],[q]]</f>
        <v>1699.1907643430709</v>
      </c>
      <c r="C83" s="23">
        <f>MIN(mesclun_sched[[#This Row],[hrs]],farmer_hrs_field)</f>
        <v>720</v>
      </c>
      <c r="D83" s="23">
        <f>mesclun_sched[[#This Row],[hrs]]-mesclun_sched[[#This Row],[perm_hrs]]</f>
        <v>979.1907643430709</v>
      </c>
      <c r="E83" s="24">
        <f>mesclun_sched[[#This Row],[perm_hrs]]*farmer_wage+mesclun_sched[[#This Row],[temp_hrs]]*temp_wage</f>
        <v>41999.839658733865</v>
      </c>
      <c r="F83" s="24">
        <f>mesclun_sched[[#This Row],[q]]*mesclun_crop_fert</f>
        <v>23760</v>
      </c>
      <c r="G83" s="24">
        <f>mesclun_sched[[#This Row],[labor]]+mesclun_sched[[#This Row],[fert]]</f>
        <v>65759.839658733865</v>
      </c>
      <c r="H83" s="24">
        <f>mesclun_sched[[#This Row],[vc]]+fixed_costs</f>
        <v>85759.839658733865</v>
      </c>
      <c r="I83" s="24">
        <f>IF(mesclun_sched[[#This Row],[q]]=0,"",mesclun_sched[[#This Row],[vc]]-mesclun_sched[[#This Row],[vc_1]])</f>
        <v>2323.2934812457679</v>
      </c>
      <c r="J83" s="24">
        <f>IF(mesclun_sched[[#This Row],[q]]=0,"",mesclun_sched[[#This Row],[vc]]/mesclun_sched[[#This Row],[q]])</f>
        <v>2435.549616990143</v>
      </c>
      <c r="K83" s="24">
        <f>IF(mesclun_sched[[#This Row],[q]]=0,"",mesclun_sched[[#This Row],[tc]]/mesclun_sched[[#This Row],[q]])</f>
        <v>3176.2903577308839</v>
      </c>
      <c r="L83" s="24">
        <f>mesclun_crop_price</f>
        <v>2700</v>
      </c>
      <c r="M83" s="25">
        <f>IF(mesclun_sched[[#This Row],[q]]=0,1,IF(mesclun_sched[[#This Row],[mc]]&lt;=mesclun_sched[[#This Row],[price]],1,0))</f>
        <v>1</v>
      </c>
      <c r="N83" s="25">
        <f>IF(mesclun_sched[[#This Row],[q]]&lt;=1,"",IF(mesclun_sched[[#This Row],[mc]]&lt;mesclun_sched[[#This Row],[mc_1]],1,0))</f>
        <v>0</v>
      </c>
      <c r="O83" s="10">
        <f>MAX(mesclun_sched[[#This Row],[q]]-1,0)</f>
        <v>26</v>
      </c>
      <c r="P83" s="23">
        <f>mesclun_sched[[#This Row],[q_1]]*mesclun_crop_hrswk*season_weeks*(1+mesclun_crop_dim)^mesclun_sched[[#This Row],[q_1]]</f>
        <v>1616.0570598233144</v>
      </c>
      <c r="Q83" s="23">
        <f>MIN(mesclun_sched[[#This Row],[hrs_1]],farmer_hrs_field)</f>
        <v>720</v>
      </c>
      <c r="R83" s="23">
        <f>mesclun_sched[[#This Row],[hrs_1]]-mesclun_sched[[#This Row],[perm_hrs_1]]</f>
        <v>896.05705982331438</v>
      </c>
      <c r="S83" s="23">
        <f>mesclun_sched[[#This Row],[perm_hrs_1]]*farmer_wage+mesclun_sched[[#This Row],[temp_hrs_1]]*temp_wage</f>
        <v>40556.546177488097</v>
      </c>
      <c r="T83" s="23">
        <f>mesclun_sched[[#This Row],[q_1]]*mesclun_crop_fert</f>
        <v>22880</v>
      </c>
      <c r="U83" s="23">
        <f>mesclun_sched[[#This Row],[labor_1]]+mesclun_sched[[#This Row],[fert_1]]</f>
        <v>63436.546177488097</v>
      </c>
      <c r="V83" s="23">
        <f>MAX(mesclun_sched[[#This Row],[q]]-2,0)</f>
        <v>25</v>
      </c>
      <c r="W83" s="23">
        <f>mesclun_sched[[#This Row],[q_2]]*mesclun_crop_hrswk*season_weeks*(1+mesclun_crop_dim)^mesclun_sched[[#This Row],[q_2]]</f>
        <v>1534.7170558625965</v>
      </c>
      <c r="X83" s="23">
        <f>MIN(mesclun_sched[[#This Row],[hrs_2]],farmer_hrs_field)</f>
        <v>720</v>
      </c>
      <c r="Y83" s="23">
        <f>mesclun_sched[[#This Row],[hrs_2]]-mesclun_sched[[#This Row],[perm_hrs_2]]</f>
        <v>814.71705586259645</v>
      </c>
      <c r="Z83" s="23">
        <f>mesclun_sched[[#This Row],[perm_hrs_2]]*farmer_wage+mesclun_sched[[#This Row],[temp_hrs_2]]*temp_wage</f>
        <v>39144.393330947853</v>
      </c>
      <c r="AA83" s="23">
        <f>mesclun_sched[[#This Row],[q_2]]*mesclun_crop_fert</f>
        <v>22000</v>
      </c>
      <c r="AB83" s="23">
        <f>mesclun_sched[[#This Row],[labor_2]]+mesclun_sched[[#This Row],[fert_2]]</f>
        <v>61144.393330947853</v>
      </c>
      <c r="AC83" s="23">
        <f>IF(mesclun_sched[[#This Row],[q]]&lt;=1,"",mesclun_sched[[#This Row],[vc_1]]-mesclun_sched[[#This Row],[vc_2]])</f>
        <v>2292.1528465402444</v>
      </c>
    </row>
    <row r="84" spans="1:29" x14ac:dyDescent="0.2">
      <c r="A84" s="7">
        <v>28</v>
      </c>
      <c r="B84" s="23">
        <f>mesclun_sched[[#This Row],[q]]*mesclun_crop_hrswk*season_weeks*(1+mesclun_crop_dim)^mesclun_sched[[#This Row],[q]]</f>
        <v>1784.1503025602246</v>
      </c>
      <c r="C84" s="23">
        <f>MIN(mesclun_sched[[#This Row],[hrs]],farmer_hrs_field)</f>
        <v>720</v>
      </c>
      <c r="D84" s="23">
        <f>mesclun_sched[[#This Row],[hrs]]-mesclun_sched[[#This Row],[perm_hrs]]</f>
        <v>1064.1503025602246</v>
      </c>
      <c r="E84" s="24">
        <f>mesclun_sched[[#This Row],[perm_hrs]]*farmer_wage+mesclun_sched[[#This Row],[temp_hrs]]*temp_wage</f>
        <v>43474.831641670564</v>
      </c>
      <c r="F84" s="24">
        <f>mesclun_sched[[#This Row],[q]]*mesclun_crop_fert</f>
        <v>24640</v>
      </c>
      <c r="G84" s="24">
        <f>mesclun_sched[[#This Row],[labor]]+mesclun_sched[[#This Row],[fert]]</f>
        <v>68114.831641670564</v>
      </c>
      <c r="H84" s="24">
        <f>mesclun_sched[[#This Row],[vc]]+fixed_costs</f>
        <v>88114.831641670564</v>
      </c>
      <c r="I84" s="24">
        <f>IF(mesclun_sched[[#This Row],[q]]=0,"",mesclun_sched[[#This Row],[vc]]-mesclun_sched[[#This Row],[vc_1]])</f>
        <v>2354.9919829366991</v>
      </c>
      <c r="J84" s="24">
        <f>IF(mesclun_sched[[#This Row],[q]]=0,"",mesclun_sched[[#This Row],[vc]]/mesclun_sched[[#This Row],[q]])</f>
        <v>2432.6725586310918</v>
      </c>
      <c r="K84" s="24">
        <f>IF(mesclun_sched[[#This Row],[q]]=0,"",mesclun_sched[[#This Row],[tc]]/mesclun_sched[[#This Row],[q]])</f>
        <v>3146.958272916806</v>
      </c>
      <c r="L84" s="24">
        <f>mesclun_crop_price</f>
        <v>2700</v>
      </c>
      <c r="M84" s="25">
        <f>IF(mesclun_sched[[#This Row],[q]]=0,1,IF(mesclun_sched[[#This Row],[mc]]&lt;=mesclun_sched[[#This Row],[price]],1,0))</f>
        <v>1</v>
      </c>
      <c r="N84" s="25">
        <f>IF(mesclun_sched[[#This Row],[q]]&lt;=1,"",IF(mesclun_sched[[#This Row],[mc]]&lt;mesclun_sched[[#This Row],[mc_1]],1,0))</f>
        <v>0</v>
      </c>
      <c r="O84" s="10">
        <f>MAX(mesclun_sched[[#This Row],[q]]-1,0)</f>
        <v>27</v>
      </c>
      <c r="P84" s="23">
        <f>mesclun_sched[[#This Row],[q_1]]*mesclun_crop_hrswk*season_weeks*(1+mesclun_crop_dim)^mesclun_sched[[#This Row],[q_1]]</f>
        <v>1699.1907643430709</v>
      </c>
      <c r="Q84" s="23">
        <f>MIN(mesclun_sched[[#This Row],[hrs_1]],farmer_hrs_field)</f>
        <v>720</v>
      </c>
      <c r="R84" s="23">
        <f>mesclun_sched[[#This Row],[hrs_1]]-mesclun_sched[[#This Row],[perm_hrs_1]]</f>
        <v>979.1907643430709</v>
      </c>
      <c r="S84" s="23">
        <f>mesclun_sched[[#This Row],[perm_hrs_1]]*farmer_wage+mesclun_sched[[#This Row],[temp_hrs_1]]*temp_wage</f>
        <v>41999.839658733865</v>
      </c>
      <c r="T84" s="23">
        <f>mesclun_sched[[#This Row],[q_1]]*mesclun_crop_fert</f>
        <v>23760</v>
      </c>
      <c r="U84" s="23">
        <f>mesclun_sched[[#This Row],[labor_1]]+mesclun_sched[[#This Row],[fert_1]]</f>
        <v>65759.839658733865</v>
      </c>
      <c r="V84" s="23">
        <f>MAX(mesclun_sched[[#This Row],[q]]-2,0)</f>
        <v>26</v>
      </c>
      <c r="W84" s="23">
        <f>mesclun_sched[[#This Row],[q_2]]*mesclun_crop_hrswk*season_weeks*(1+mesclun_crop_dim)^mesclun_sched[[#This Row],[q_2]]</f>
        <v>1616.0570598233144</v>
      </c>
      <c r="X84" s="23">
        <f>MIN(mesclun_sched[[#This Row],[hrs_2]],farmer_hrs_field)</f>
        <v>720</v>
      </c>
      <c r="Y84" s="23">
        <f>mesclun_sched[[#This Row],[hrs_2]]-mesclun_sched[[#This Row],[perm_hrs_2]]</f>
        <v>896.05705982331438</v>
      </c>
      <c r="Z84" s="23">
        <f>mesclun_sched[[#This Row],[perm_hrs_2]]*farmer_wage+mesclun_sched[[#This Row],[temp_hrs_2]]*temp_wage</f>
        <v>40556.546177488097</v>
      </c>
      <c r="AA84" s="23">
        <f>mesclun_sched[[#This Row],[q_2]]*mesclun_crop_fert</f>
        <v>22880</v>
      </c>
      <c r="AB84" s="23">
        <f>mesclun_sched[[#This Row],[labor_2]]+mesclun_sched[[#This Row],[fert_2]]</f>
        <v>63436.546177488097</v>
      </c>
      <c r="AC84" s="23">
        <f>IF(mesclun_sched[[#This Row],[q]]&lt;=1,"",mesclun_sched[[#This Row],[vc_1]]-mesclun_sched[[#This Row],[vc_2]])</f>
        <v>2323.2934812457679</v>
      </c>
    </row>
    <row r="85" spans="1:29" x14ac:dyDescent="0.2">
      <c r="A85" s="7">
        <v>29</v>
      </c>
      <c r="B85" s="23">
        <f>mesclun_sched[[#This Row],[q]]*mesclun_crop_hrswk*season_weeks*(1+mesclun_crop_dim)^mesclun_sched[[#This Row],[q]]</f>
        <v>1870.9683306758782</v>
      </c>
      <c r="C85" s="23">
        <f>MIN(mesclun_sched[[#This Row],[hrs]],farmer_hrs_field)</f>
        <v>720</v>
      </c>
      <c r="D85" s="23">
        <f>mesclun_sched[[#This Row],[hrs]]-mesclun_sched[[#This Row],[perm_hrs]]</f>
        <v>1150.9683306758782</v>
      </c>
      <c r="E85" s="24">
        <f>mesclun_sched[[#This Row],[perm_hrs]]*farmer_wage+mesclun_sched[[#This Row],[temp_hrs]]*temp_wage</f>
        <v>44982.089074233998</v>
      </c>
      <c r="F85" s="24">
        <f>mesclun_sched[[#This Row],[q]]*mesclun_crop_fert</f>
        <v>25520</v>
      </c>
      <c r="G85" s="24">
        <f>mesclun_sched[[#This Row],[labor]]+mesclun_sched[[#This Row],[fert]]</f>
        <v>70502.089074233998</v>
      </c>
      <c r="H85" s="24">
        <f>mesclun_sched[[#This Row],[vc]]+fixed_costs</f>
        <v>90502.089074233998</v>
      </c>
      <c r="I85" s="24">
        <f>IF(mesclun_sched[[#This Row],[q]]=0,"",mesclun_sched[[#This Row],[vc]]-mesclun_sched[[#This Row],[vc_1]])</f>
        <v>2387.2574325634341</v>
      </c>
      <c r="J85" s="24">
        <f>IF(mesclun_sched[[#This Row],[q]]=0,"",mesclun_sched[[#This Row],[vc]]/mesclun_sched[[#This Row],[q]])</f>
        <v>2431.1065198011725</v>
      </c>
      <c r="K85" s="24">
        <f>IF(mesclun_sched[[#This Row],[q]]=0,"",mesclun_sched[[#This Row],[tc]]/mesclun_sched[[#This Row],[q]])</f>
        <v>3120.7616922149655</v>
      </c>
      <c r="L85" s="24">
        <f>mesclun_crop_price</f>
        <v>2700</v>
      </c>
      <c r="M85" s="25">
        <f>IF(mesclun_sched[[#This Row],[q]]=0,1,IF(mesclun_sched[[#This Row],[mc]]&lt;=mesclun_sched[[#This Row],[price]],1,0))</f>
        <v>1</v>
      </c>
      <c r="N85" s="25">
        <f>IF(mesclun_sched[[#This Row],[q]]&lt;=1,"",IF(mesclun_sched[[#This Row],[mc]]&lt;mesclun_sched[[#This Row],[mc_1]],1,0))</f>
        <v>0</v>
      </c>
      <c r="O85" s="10">
        <f>MAX(mesclun_sched[[#This Row],[q]]-1,0)</f>
        <v>28</v>
      </c>
      <c r="P85" s="23">
        <f>mesclun_sched[[#This Row],[q_1]]*mesclun_crop_hrswk*season_weeks*(1+mesclun_crop_dim)^mesclun_sched[[#This Row],[q_1]]</f>
        <v>1784.1503025602246</v>
      </c>
      <c r="Q85" s="23">
        <f>MIN(mesclun_sched[[#This Row],[hrs_1]],farmer_hrs_field)</f>
        <v>720</v>
      </c>
      <c r="R85" s="23">
        <f>mesclun_sched[[#This Row],[hrs_1]]-mesclun_sched[[#This Row],[perm_hrs_1]]</f>
        <v>1064.1503025602246</v>
      </c>
      <c r="S85" s="23">
        <f>mesclun_sched[[#This Row],[perm_hrs_1]]*farmer_wage+mesclun_sched[[#This Row],[temp_hrs_1]]*temp_wage</f>
        <v>43474.831641670564</v>
      </c>
      <c r="T85" s="23">
        <f>mesclun_sched[[#This Row],[q_1]]*mesclun_crop_fert</f>
        <v>24640</v>
      </c>
      <c r="U85" s="23">
        <f>mesclun_sched[[#This Row],[labor_1]]+mesclun_sched[[#This Row],[fert_1]]</f>
        <v>68114.831641670564</v>
      </c>
      <c r="V85" s="23">
        <f>MAX(mesclun_sched[[#This Row],[q]]-2,0)</f>
        <v>27</v>
      </c>
      <c r="W85" s="23">
        <f>mesclun_sched[[#This Row],[q_2]]*mesclun_crop_hrswk*season_weeks*(1+mesclun_crop_dim)^mesclun_sched[[#This Row],[q_2]]</f>
        <v>1699.1907643430709</v>
      </c>
      <c r="X85" s="23">
        <f>MIN(mesclun_sched[[#This Row],[hrs_2]],farmer_hrs_field)</f>
        <v>720</v>
      </c>
      <c r="Y85" s="23">
        <f>mesclun_sched[[#This Row],[hrs_2]]-mesclun_sched[[#This Row],[perm_hrs_2]]</f>
        <v>979.1907643430709</v>
      </c>
      <c r="Z85" s="23">
        <f>mesclun_sched[[#This Row],[perm_hrs_2]]*farmer_wage+mesclun_sched[[#This Row],[temp_hrs_2]]*temp_wage</f>
        <v>41999.839658733865</v>
      </c>
      <c r="AA85" s="23">
        <f>mesclun_sched[[#This Row],[q_2]]*mesclun_crop_fert</f>
        <v>23760</v>
      </c>
      <c r="AB85" s="23">
        <f>mesclun_sched[[#This Row],[labor_2]]+mesclun_sched[[#This Row],[fert_2]]</f>
        <v>65759.839658733865</v>
      </c>
      <c r="AC85" s="23">
        <f>IF(mesclun_sched[[#This Row],[q]]&lt;=1,"",mesclun_sched[[#This Row],[vc_1]]-mesclun_sched[[#This Row],[vc_2]])</f>
        <v>2354.9919829366991</v>
      </c>
    </row>
    <row r="86" spans="1:29" x14ac:dyDescent="0.2">
      <c r="A86" s="7">
        <v>30</v>
      </c>
      <c r="B86" s="23">
        <f>mesclun_sched[[#This Row],[q]]*mesclun_crop_hrswk*season_weeks*(1+mesclun_crop_dim)^mesclun_sched[[#This Row],[q]]</f>
        <v>1959.6780360096488</v>
      </c>
      <c r="C86" s="23">
        <f>MIN(mesclun_sched[[#This Row],[hrs]],farmer_hrs_field)</f>
        <v>720</v>
      </c>
      <c r="D86" s="23">
        <f>mesclun_sched[[#This Row],[hrs]]-mesclun_sched[[#This Row],[perm_hrs]]</f>
        <v>1239.6780360096488</v>
      </c>
      <c r="E86" s="24">
        <f>mesclun_sched[[#This Row],[perm_hrs]]*farmer_wage+mesclun_sched[[#This Row],[temp_hrs]]*temp_wage</f>
        <v>46522.188125167515</v>
      </c>
      <c r="F86" s="24">
        <f>mesclun_sched[[#This Row],[q]]*mesclun_crop_fert</f>
        <v>26400</v>
      </c>
      <c r="G86" s="24">
        <f>mesclun_sched[[#This Row],[labor]]+mesclun_sched[[#This Row],[fert]]</f>
        <v>72922.188125167508</v>
      </c>
      <c r="H86" s="24">
        <f>mesclun_sched[[#This Row],[vc]]+fixed_costs</f>
        <v>92922.188125167508</v>
      </c>
      <c r="I86" s="24">
        <f>IF(mesclun_sched[[#This Row],[q]]=0,"",mesclun_sched[[#This Row],[vc]]-mesclun_sched[[#This Row],[vc_1]])</f>
        <v>2420.0990509335097</v>
      </c>
      <c r="J86" s="24">
        <f>IF(mesclun_sched[[#This Row],[q]]=0,"",mesclun_sched[[#This Row],[vc]]/mesclun_sched[[#This Row],[q]])</f>
        <v>2430.7396041722504</v>
      </c>
      <c r="K86" s="24">
        <f>IF(mesclun_sched[[#This Row],[q]]=0,"",mesclun_sched[[#This Row],[tc]]/mesclun_sched[[#This Row],[q]])</f>
        <v>3097.406270838917</v>
      </c>
      <c r="L86" s="24">
        <f>mesclun_crop_price</f>
        <v>2700</v>
      </c>
      <c r="M86" s="25">
        <f>IF(mesclun_sched[[#This Row],[q]]=0,1,IF(mesclun_sched[[#This Row],[mc]]&lt;=mesclun_sched[[#This Row],[price]],1,0))</f>
        <v>1</v>
      </c>
      <c r="N86" s="25">
        <f>IF(mesclun_sched[[#This Row],[q]]&lt;=1,"",IF(mesclun_sched[[#This Row],[mc]]&lt;mesclun_sched[[#This Row],[mc_1]],1,0))</f>
        <v>0</v>
      </c>
      <c r="O86" s="10">
        <f>MAX(mesclun_sched[[#This Row],[q]]-1,0)</f>
        <v>29</v>
      </c>
      <c r="P86" s="23">
        <f>mesclun_sched[[#This Row],[q_1]]*mesclun_crop_hrswk*season_weeks*(1+mesclun_crop_dim)^mesclun_sched[[#This Row],[q_1]]</f>
        <v>1870.9683306758782</v>
      </c>
      <c r="Q86" s="23">
        <f>MIN(mesclun_sched[[#This Row],[hrs_1]],farmer_hrs_field)</f>
        <v>720</v>
      </c>
      <c r="R86" s="23">
        <f>mesclun_sched[[#This Row],[hrs_1]]-mesclun_sched[[#This Row],[perm_hrs_1]]</f>
        <v>1150.9683306758782</v>
      </c>
      <c r="S86" s="23">
        <f>mesclun_sched[[#This Row],[perm_hrs_1]]*farmer_wage+mesclun_sched[[#This Row],[temp_hrs_1]]*temp_wage</f>
        <v>44982.089074233998</v>
      </c>
      <c r="T86" s="23">
        <f>mesclun_sched[[#This Row],[q_1]]*mesclun_crop_fert</f>
        <v>25520</v>
      </c>
      <c r="U86" s="23">
        <f>mesclun_sched[[#This Row],[labor_1]]+mesclun_sched[[#This Row],[fert_1]]</f>
        <v>70502.089074233998</v>
      </c>
      <c r="V86" s="23">
        <f>MAX(mesclun_sched[[#This Row],[q]]-2,0)</f>
        <v>28</v>
      </c>
      <c r="W86" s="23">
        <f>mesclun_sched[[#This Row],[q_2]]*mesclun_crop_hrswk*season_weeks*(1+mesclun_crop_dim)^mesclun_sched[[#This Row],[q_2]]</f>
        <v>1784.1503025602246</v>
      </c>
      <c r="X86" s="23">
        <f>MIN(mesclun_sched[[#This Row],[hrs_2]],farmer_hrs_field)</f>
        <v>720</v>
      </c>
      <c r="Y86" s="23">
        <f>mesclun_sched[[#This Row],[hrs_2]]-mesclun_sched[[#This Row],[perm_hrs_2]]</f>
        <v>1064.1503025602246</v>
      </c>
      <c r="Z86" s="23">
        <f>mesclun_sched[[#This Row],[perm_hrs_2]]*farmer_wage+mesclun_sched[[#This Row],[temp_hrs_2]]*temp_wage</f>
        <v>43474.831641670564</v>
      </c>
      <c r="AA86" s="23">
        <f>mesclun_sched[[#This Row],[q_2]]*mesclun_crop_fert</f>
        <v>24640</v>
      </c>
      <c r="AB86" s="23">
        <f>mesclun_sched[[#This Row],[labor_2]]+mesclun_sched[[#This Row],[fert_2]]</f>
        <v>68114.831641670564</v>
      </c>
      <c r="AC86" s="23">
        <f>IF(mesclun_sched[[#This Row],[q]]&lt;=1,"",mesclun_sched[[#This Row],[vc_1]]-mesclun_sched[[#This Row],[vc_2]])</f>
        <v>2387.2574325634341</v>
      </c>
    </row>
    <row r="89" spans="1:29" x14ac:dyDescent="0.2">
      <c r="A89" s="4" t="s">
        <v>102</v>
      </c>
      <c r="B89" s="5"/>
      <c r="C89" s="5"/>
      <c r="D89" s="5"/>
      <c r="E89" s="5"/>
    </row>
    <row r="90" spans="1:29" x14ac:dyDescent="0.2">
      <c r="A90" s="3" t="s">
        <v>103</v>
      </c>
      <c r="B90" s="3" t="s">
        <v>104</v>
      </c>
      <c r="C90" s="3" t="s">
        <v>105</v>
      </c>
      <c r="D90" s="3" t="s">
        <v>106</v>
      </c>
      <c r="E90" s="3" t="s">
        <v>107</v>
      </c>
    </row>
    <row r="91" spans="1:29" x14ac:dyDescent="0.2">
      <c r="A91" t="s">
        <v>108</v>
      </c>
      <c r="B91" s="22">
        <f>tomato_crop_price</f>
        <v>8800</v>
      </c>
      <c r="C91">
        <f>IF(COUNTIFS(tomato_sched[pass],0)=0,tomato_crop_cap,_xlfn.MINIFS(tomato_sched[q],tomato_sched[pass],0)-1)</f>
        <v>10</v>
      </c>
      <c r="D91" s="22" cm="1">
        <f t="array" ref="D91">IF(crossing_tomato=0,"",SUMIFS(tomato_sched[mc],tomato_sched[q],crossing_tomato))</f>
        <v>8248.586534375012</v>
      </c>
      <c r="E91">
        <f>IF(COUNTIFS(tomato_sched[fall],1)=0,"none",_xlfn.MINIFS(tomato_sched[q],tomato_sched[fall],1))</f>
        <v>6</v>
      </c>
    </row>
    <row r="92" spans="1:29" x14ac:dyDescent="0.2">
      <c r="A92" t="s">
        <v>109</v>
      </c>
      <c r="B92" s="22">
        <f>carrot_crop_price</f>
        <v>2094</v>
      </c>
      <c r="C92">
        <f>IF(COUNTIFS(carrot_sched[pass],0)=0,carrot_crop_cap,_xlfn.MINIFS(carrot_sched[q],carrot_sched[pass],0)-1)</f>
        <v>10</v>
      </c>
      <c r="D92" s="22" cm="1">
        <f t="array" ref="D92">IF(crossing_carrot=0,"",SUMIFS(carrot_sched[mc],carrot_sched[q],crossing_carrot))</f>
        <v>2066.1236587860258</v>
      </c>
      <c r="E92">
        <f>IF(COUNTIFS(carrot_sched[fall],1)=0,"none",_xlfn.MINIFS(carrot_sched[q],carrot_sched[fall],1))</f>
        <v>17</v>
      </c>
    </row>
    <row r="93" spans="1:29" x14ac:dyDescent="0.2">
      <c r="A93" t="s">
        <v>110</v>
      </c>
      <c r="B93" s="22">
        <f>mesclun_crop_price</f>
        <v>2700</v>
      </c>
      <c r="C93">
        <f>IF(COUNTIFS(mesclun_sched[pass],0)=0,mesclun_crop_cap,_xlfn.MINIFS(mesclun_sched[q],mesclun_sched[pass],0)-1)</f>
        <v>6</v>
      </c>
      <c r="D93" s="22" cm="1">
        <f t="array" ref="D93">IF(crossing_mesclun=0,"",SUMIFS(mesclun_sched[mc],mesclun_sched[q],crossing_mesclun))</f>
        <v>2667.3254924178127</v>
      </c>
      <c r="E93">
        <f>IF(COUNTIFS(mesclun_sched[fall],1)=0,"none",_xlfn.MINIFS(mesclun_sched[q],mesclun_sched[fall],1))</f>
        <v>14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2BFE8-8D6C-B140-B4B3-A4F453B1CECE}">
  <dimension ref="A1:G46"/>
  <sheetViews>
    <sheetView workbookViewId="0"/>
  </sheetViews>
  <sheetFormatPr baseColWidth="10" defaultRowHeight="16" x14ac:dyDescent="0.2"/>
  <cols>
    <col min="1" max="1" width="38.33203125" customWidth="1"/>
    <col min="2" max="5" width="15.83203125" customWidth="1"/>
    <col min="6" max="6" width="33.33203125" customWidth="1"/>
    <col min="7" max="7" width="15.83203125" customWidth="1"/>
  </cols>
  <sheetData>
    <row r="1" spans="1:3" ht="19" x14ac:dyDescent="0.25">
      <c r="A1" s="1" t="s">
        <v>111</v>
      </c>
    </row>
    <row r="2" spans="1:3" x14ac:dyDescent="0.2">
      <c r="A2" s="2" t="s">
        <v>112</v>
      </c>
    </row>
    <row r="4" spans="1:3" x14ac:dyDescent="0.2">
      <c r="A4" s="4" t="s">
        <v>113</v>
      </c>
      <c r="B4" s="5"/>
      <c r="C4" s="5"/>
    </row>
    <row r="5" spans="1:3" x14ac:dyDescent="0.2">
      <c r="A5" t="s">
        <v>114</v>
      </c>
      <c r="B5" s="26">
        <v>0</v>
      </c>
      <c r="C5" t="s">
        <v>115</v>
      </c>
    </row>
    <row r="6" spans="1:3" x14ac:dyDescent="0.2">
      <c r="A6" t="s">
        <v>116</v>
      </c>
      <c r="B6" s="26">
        <v>0</v>
      </c>
      <c r="C6" t="s">
        <v>115</v>
      </c>
    </row>
    <row r="7" spans="1:3" x14ac:dyDescent="0.2">
      <c r="A7" t="s">
        <v>117</v>
      </c>
      <c r="B7" s="26">
        <v>0</v>
      </c>
      <c r="C7" t="s">
        <v>115</v>
      </c>
    </row>
    <row r="8" spans="1:3" x14ac:dyDescent="0.2">
      <c r="A8" t="s">
        <v>118</v>
      </c>
      <c r="B8" s="27" cm="1">
        <f t="array" ref="B8">tomato_crop_beds+carrot_crop_beds+mesclun_crop_beds</f>
        <v>0</v>
      </c>
      <c r="C8" t="s">
        <v>119</v>
      </c>
    </row>
    <row r="10" spans="1:3" x14ac:dyDescent="0.2">
      <c r="A10" s="4" t="s">
        <v>120</v>
      </c>
      <c r="B10" s="5"/>
      <c r="C10" s="5"/>
    </row>
    <row r="11" spans="1:3" x14ac:dyDescent="0.2">
      <c r="A11" t="s">
        <v>121</v>
      </c>
      <c r="B11" s="28" cm="1">
        <f t="array" ref="B11">tomato_crop_beds*tomato_crop_hrswk*season_weeks*(1+tomato_crop_dim)^tomato_crop_beds</f>
        <v>0</v>
      </c>
      <c r="C11" t="s">
        <v>122</v>
      </c>
    </row>
    <row r="12" spans="1:3" x14ac:dyDescent="0.2">
      <c r="A12" t="s">
        <v>123</v>
      </c>
      <c r="B12" s="28" cm="1">
        <f t="array" ref="B12">carrot_crop_beds*carrot_crop_hrswk*season_weeks*(1+carrot_crop_dim)^carrot_crop_beds</f>
        <v>0</v>
      </c>
      <c r="C12" t="s">
        <v>124</v>
      </c>
    </row>
    <row r="13" spans="1:3" x14ac:dyDescent="0.2">
      <c r="A13" t="s">
        <v>125</v>
      </c>
      <c r="B13" s="28" cm="1">
        <f t="array" ref="B13">mesclun_crop_beds*mesclun_crop_hrswk*season_weeks*(1+mesclun_crop_dim)^mesclun_crop_beds</f>
        <v>0</v>
      </c>
      <c r="C13" t="s">
        <v>126</v>
      </c>
    </row>
    <row r="14" spans="1:3" x14ac:dyDescent="0.2">
      <c r="A14" t="s">
        <v>127</v>
      </c>
      <c r="B14" s="29" cm="1">
        <f t="array" ref="B14">mix_hrs_tomato+mix_hrs_carrot+mix_hrs_mesclun</f>
        <v>0</v>
      </c>
      <c r="C14" t="s">
        <v>23</v>
      </c>
    </row>
    <row r="15" spans="1:3" x14ac:dyDescent="0.2">
      <c r="A15" t="s">
        <v>128</v>
      </c>
      <c r="B15" s="28">
        <f>MIN(mix_hrs_total,farmer_hrs_field)</f>
        <v>0</v>
      </c>
      <c r="C15" t="s">
        <v>129</v>
      </c>
    </row>
    <row r="16" spans="1:3" x14ac:dyDescent="0.2">
      <c r="A16" t="s">
        <v>130</v>
      </c>
      <c r="B16" s="28" cm="1">
        <f t="array" ref="B16">mix_hrs_total-perm_hrs_used</f>
        <v>0</v>
      </c>
      <c r="C16" t="s">
        <v>71</v>
      </c>
    </row>
    <row r="17" spans="1:7" x14ac:dyDescent="0.2">
      <c r="A17" t="s">
        <v>131</v>
      </c>
      <c r="B17" s="30" cm="1">
        <f t="array" ref="B17">temp_hrs_used/temp_hrs_each</f>
        <v>0</v>
      </c>
      <c r="C17" t="s">
        <v>132</v>
      </c>
    </row>
    <row r="18" spans="1:7" x14ac:dyDescent="0.2">
      <c r="A18" t="s">
        <v>133</v>
      </c>
      <c r="B18" s="31" cm="1">
        <f t="array" ref="B18">perm_hrs_used*farmer_wage+temp_hrs_used*temp_wage</f>
        <v>0</v>
      </c>
      <c r="C18" t="s">
        <v>134</v>
      </c>
    </row>
    <row r="19" spans="1:7" x14ac:dyDescent="0.2">
      <c r="A19" t="s">
        <v>135</v>
      </c>
      <c r="B19" s="32" cm="1">
        <f t="array" ref="B19">IF(mix_hrs_total=0,0,labor_cost_total/mix_hrs_total)</f>
        <v>0</v>
      </c>
      <c r="C19" t="s">
        <v>136</v>
      </c>
    </row>
    <row r="21" spans="1:7" x14ac:dyDescent="0.2">
      <c r="A21" s="4" t="s">
        <v>137</v>
      </c>
      <c r="B21" s="5"/>
      <c r="C21" s="5"/>
      <c r="D21" s="5"/>
      <c r="E21" s="5"/>
      <c r="F21" s="5"/>
      <c r="G21" s="5"/>
    </row>
    <row r="22" spans="1:7" x14ac:dyDescent="0.2">
      <c r="A22" s="3" t="s">
        <v>103</v>
      </c>
      <c r="B22" s="6" t="s">
        <v>138</v>
      </c>
      <c r="C22" s="6" t="s">
        <v>139</v>
      </c>
      <c r="D22" s="6" t="s">
        <v>140</v>
      </c>
      <c r="E22" s="6" t="s">
        <v>141</v>
      </c>
      <c r="F22" s="6" t="s">
        <v>142</v>
      </c>
      <c r="G22" s="6" t="s">
        <v>143</v>
      </c>
    </row>
    <row r="23" spans="1:7" x14ac:dyDescent="0.2">
      <c r="A23" t="s">
        <v>43</v>
      </c>
      <c r="B23" s="33" cm="1">
        <f t="array" ref="B23">tomato_crop_beds</f>
        <v>0</v>
      </c>
      <c r="C23" s="28" cm="1">
        <f t="array" ref="C23">mix_hrs_tomato</f>
        <v>0</v>
      </c>
      <c r="D23" s="34" cm="1">
        <f t="array" ref="D23">tomato_crop_beds*tomato_crop_price</f>
        <v>0</v>
      </c>
      <c r="E23" s="34" cm="1">
        <f t="array" ref="E23">tomato_crop_beds*tomato_crop_fert</f>
        <v>0</v>
      </c>
      <c r="F23" s="34" cm="1">
        <f t="array" ref="F23">mix_hrs_tomato*labor_rate_blended</f>
        <v>0</v>
      </c>
      <c r="G23" s="34" cm="1">
        <f t="array" ref="G23">tomato_revenue-tomato_fert_cost-tomato_labor_cost</f>
        <v>0</v>
      </c>
    </row>
    <row r="24" spans="1:7" x14ac:dyDescent="0.2">
      <c r="A24" t="s">
        <v>44</v>
      </c>
      <c r="B24" s="33" cm="1">
        <f t="array" ref="B24">carrot_crop_beds</f>
        <v>0</v>
      </c>
      <c r="C24" s="28" cm="1">
        <f t="array" ref="C24">mix_hrs_carrot</f>
        <v>0</v>
      </c>
      <c r="D24" s="34" cm="1">
        <f t="array" ref="D24">carrot_crop_beds*carrot_crop_price</f>
        <v>0</v>
      </c>
      <c r="E24" s="34" cm="1">
        <f t="array" ref="E24">carrot_crop_beds*carrot_crop_fert</f>
        <v>0</v>
      </c>
      <c r="F24" s="34" cm="1">
        <f t="array" ref="F24">mix_hrs_carrot*labor_rate_blended</f>
        <v>0</v>
      </c>
      <c r="G24" s="34" cm="1">
        <f t="array" ref="G24">carrot_revenue-carrot_fert_cost-carrot_labor_cost</f>
        <v>0</v>
      </c>
    </row>
    <row r="25" spans="1:7" x14ac:dyDescent="0.2">
      <c r="A25" t="s">
        <v>45</v>
      </c>
      <c r="B25" s="33" cm="1">
        <f t="array" ref="B25">mesclun_crop_beds</f>
        <v>0</v>
      </c>
      <c r="C25" s="28" cm="1">
        <f t="array" ref="C25">mix_hrs_mesclun</f>
        <v>0</v>
      </c>
      <c r="D25" s="34" cm="1">
        <f t="array" ref="D25">mesclun_crop_beds*mesclun_crop_price</f>
        <v>0</v>
      </c>
      <c r="E25" s="34" cm="1">
        <f t="array" ref="E25">mesclun_crop_beds*mesclun_crop_fert</f>
        <v>0</v>
      </c>
      <c r="F25" s="34" cm="1">
        <f t="array" ref="F25">mix_hrs_mesclun*labor_rate_blended</f>
        <v>0</v>
      </c>
      <c r="G25" s="34" cm="1">
        <f t="array" ref="G25">mesclun_revenue-mesclun_fert_cost-mesclun_labor_cost</f>
        <v>0</v>
      </c>
    </row>
    <row r="26" spans="1:7" x14ac:dyDescent="0.2">
      <c r="A26" s="3" t="s">
        <v>144</v>
      </c>
      <c r="B26" s="27" cm="1">
        <f t="array" ref="B26">beds_planted</f>
        <v>0</v>
      </c>
      <c r="C26" s="29" cm="1">
        <f t="array" ref="C26">mix_hrs_total</f>
        <v>0</v>
      </c>
      <c r="D26" s="31" cm="1">
        <f t="array" ref="D26">revenue_total</f>
        <v>0</v>
      </c>
      <c r="E26" s="31" cm="1">
        <f t="array" ref="E26">fert_total</f>
        <v>0</v>
      </c>
      <c r="F26" s="31" cm="1">
        <f t="array" ref="F26">tomato_labor_cost+carrot_labor_cost+mesclun_labor_cost</f>
        <v>0</v>
      </c>
      <c r="G26" s="31" cm="1">
        <f t="array" ref="G26">tomato_contribution+carrot_contribution+mesclun_contribution</f>
        <v>0</v>
      </c>
    </row>
    <row r="28" spans="1:7" x14ac:dyDescent="0.2">
      <c r="A28" s="4" t="s">
        <v>145</v>
      </c>
      <c r="B28" s="5"/>
      <c r="C28" s="5"/>
    </row>
    <row r="29" spans="1:7" x14ac:dyDescent="0.2">
      <c r="A29" t="s">
        <v>146</v>
      </c>
      <c r="B29" s="34" cm="1">
        <f t="array" ref="B29">tomato_revenue+carrot_revenue+mesclun_revenue</f>
        <v>0</v>
      </c>
      <c r="C29" t="s">
        <v>15</v>
      </c>
    </row>
    <row r="30" spans="1:7" x14ac:dyDescent="0.2">
      <c r="A30" t="s">
        <v>147</v>
      </c>
      <c r="B30" s="34" cm="1">
        <f t="array" ref="B30">tomato_fert_cost+carrot_fert_cost+mesclun_fert_cost</f>
        <v>0</v>
      </c>
      <c r="C30" t="s">
        <v>15</v>
      </c>
    </row>
    <row r="31" spans="1:7" x14ac:dyDescent="0.2">
      <c r="A31" t="s">
        <v>133</v>
      </c>
      <c r="B31" s="34" cm="1">
        <f t="array" ref="B31">labor_cost_total</f>
        <v>0</v>
      </c>
      <c r="C31" t="s">
        <v>148</v>
      </c>
    </row>
    <row r="32" spans="1:7" x14ac:dyDescent="0.2">
      <c r="A32" t="s">
        <v>14</v>
      </c>
      <c r="B32" s="34">
        <f>fixed_costs</f>
        <v>20000</v>
      </c>
      <c r="C32" t="s">
        <v>149</v>
      </c>
    </row>
    <row r="33" spans="1:6" x14ac:dyDescent="0.2">
      <c r="A33" s="3" t="s">
        <v>150</v>
      </c>
      <c r="B33" s="31" cm="1">
        <f t="array" ref="B33">revenue_total-fert_total-labor_cost_total-fixed_costs</f>
        <v>-20000</v>
      </c>
      <c r="C33" s="3" t="s">
        <v>151</v>
      </c>
    </row>
    <row r="35" spans="1:6" x14ac:dyDescent="0.2">
      <c r="A35" s="4" t="s">
        <v>152</v>
      </c>
      <c r="B35" s="5"/>
      <c r="C35" s="5"/>
      <c r="D35" s="5"/>
      <c r="E35" s="5"/>
      <c r="F35" s="5"/>
    </row>
    <row r="36" spans="1:6" x14ac:dyDescent="0.2">
      <c r="A36" s="3" t="s">
        <v>153</v>
      </c>
      <c r="B36" s="6" t="s">
        <v>154</v>
      </c>
      <c r="C36" s="6" t="s">
        <v>155</v>
      </c>
      <c r="D36" s="3" t="s">
        <v>156</v>
      </c>
      <c r="E36" s="3" t="s">
        <v>157</v>
      </c>
      <c r="F36" s="3" t="s">
        <v>158</v>
      </c>
    </row>
    <row r="37" spans="1:6" x14ac:dyDescent="0.2">
      <c r="A37" t="s">
        <v>159</v>
      </c>
      <c r="B37" s="30">
        <f>beds_total</f>
        <v>64</v>
      </c>
      <c r="C37" s="30" cm="1">
        <f t="array" ref="C37">beds_planted</f>
        <v>0</v>
      </c>
      <c r="D37" t="str" cm="1">
        <f t="array" ref="D37">IF(beds_planted&lt;=beds_total+0.0001,"PASS","FAIL")</f>
        <v>PASS</v>
      </c>
      <c r="E37" t="str" cm="1">
        <f t="array" ref="E37">IF(beds_planted&gt;=beds_total-0.0001,"BINDING","slack")</f>
        <v>slack</v>
      </c>
      <c r="F37" t="s">
        <v>160</v>
      </c>
    </row>
    <row r="38" spans="1:6" x14ac:dyDescent="0.2">
      <c r="A38" t="s">
        <v>161</v>
      </c>
      <c r="B38" s="30">
        <f>tomato_crop_cap</f>
        <v>20</v>
      </c>
      <c r="C38" s="30" cm="1">
        <f t="array" ref="C38">tomato_crop_beds</f>
        <v>0</v>
      </c>
      <c r="D38" t="str" cm="1">
        <f t="array" ref="D38">IF(tomato_crop_beds&lt;=tomato_crop_cap+0.0001,"PASS","FAIL")</f>
        <v>PASS</v>
      </c>
      <c r="E38" t="str" cm="1">
        <f t="array" ref="E38">IF(tomato_crop_beds&gt;=tomato_crop_cap-0.0001,"BINDING","slack")</f>
        <v>slack</v>
      </c>
      <c r="F38" s="35"/>
    </row>
    <row r="39" spans="1:6" x14ac:dyDescent="0.2">
      <c r="A39" t="s">
        <v>162</v>
      </c>
      <c r="B39" s="30">
        <f>carrot_crop_cap</f>
        <v>20</v>
      </c>
      <c r="C39" s="30" cm="1">
        <f t="array" ref="C39">carrot_crop_beds</f>
        <v>0</v>
      </c>
      <c r="D39" t="str" cm="1">
        <f t="array" ref="D39">IF(carrot_crop_beds&lt;=carrot_crop_cap+0.0001,"PASS","FAIL")</f>
        <v>PASS</v>
      </c>
      <c r="E39" t="str" cm="1">
        <f t="array" ref="E39">IF(carrot_crop_beds&gt;=carrot_crop_cap-0.0001,"BINDING","slack")</f>
        <v>slack</v>
      </c>
      <c r="F39" s="35"/>
    </row>
    <row r="40" spans="1:6" x14ac:dyDescent="0.2">
      <c r="A40" t="s">
        <v>163</v>
      </c>
      <c r="B40" s="30">
        <f>mesclun_crop_cap</f>
        <v>30</v>
      </c>
      <c r="C40" s="30" cm="1">
        <f t="array" ref="C40">mesclun_crop_beds</f>
        <v>0</v>
      </c>
      <c r="D40" t="str" cm="1">
        <f t="array" ref="D40">IF(mesclun_crop_beds&lt;=mesclun_crop_cap+0.0001,"PASS","FAIL")</f>
        <v>PASS</v>
      </c>
      <c r="E40" t="str" cm="1">
        <f t="array" ref="E40">IF(mesclun_crop_beds&gt;=mesclun_crop_cap-0.0001,"BINDING","slack")</f>
        <v>slack</v>
      </c>
      <c r="F40" s="35"/>
    </row>
    <row r="41" spans="1:6" x14ac:dyDescent="0.2">
      <c r="A41" t="s">
        <v>164</v>
      </c>
      <c r="B41" s="30">
        <f>temp_max</f>
        <v>4</v>
      </c>
      <c r="C41" s="30" cm="1">
        <f t="array" ref="C41">temp_workers_needed</f>
        <v>0</v>
      </c>
      <c r="D41" t="str" cm="1">
        <f t="array" ref="D41">IF(temp_workers_needed&lt;=temp_max+0.0001,"PASS","FAIL")</f>
        <v>PASS</v>
      </c>
      <c r="E41" t="str" cm="1">
        <f t="array" ref="E41">IF(temp_workers_needed&gt;=temp_max-0.0001,"BINDING","slack")</f>
        <v>slack</v>
      </c>
      <c r="F41" t="s">
        <v>165</v>
      </c>
    </row>
    <row r="42" spans="1:6" x14ac:dyDescent="0.2">
      <c r="A42" s="2" t="s">
        <v>166</v>
      </c>
    </row>
    <row r="44" spans="1:6" x14ac:dyDescent="0.2">
      <c r="A44" s="4" t="s">
        <v>167</v>
      </c>
      <c r="B44" s="5"/>
      <c r="C44" s="5"/>
      <c r="D44" s="5"/>
    </row>
    <row r="45" spans="1:6" x14ac:dyDescent="0.2">
      <c r="A45" s="3" t="s">
        <v>57</v>
      </c>
      <c r="B45" s="6" t="s">
        <v>168</v>
      </c>
      <c r="C45" s="6" t="s">
        <v>133</v>
      </c>
      <c r="D45" s="3" t="s">
        <v>60</v>
      </c>
    </row>
    <row r="46" spans="1:6" x14ac:dyDescent="0.2">
      <c r="A46" t="s">
        <v>169</v>
      </c>
      <c r="B46" s="20" cm="1">
        <f t="array" ref="B46">tomato_labor_cost+carrot_labor_cost+mesclun_labor_cost</f>
        <v>0</v>
      </c>
      <c r="C46" s="20" cm="1">
        <f t="array" ref="C46">labor_cost_total</f>
        <v>0</v>
      </c>
      <c r="D46" t="str" cm="1">
        <f t="array" ref="D46">IF(ABS(check_labor_sum-labor_cost_total)&lt;0.01,"PASS","FAIL")</f>
        <v>PASS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D1D01-D486-EB48-AAC0-297EF2C7D2D3}">
  <dimension ref="A1:A2"/>
  <sheetViews>
    <sheetView tabSelected="1" workbookViewId="0"/>
  </sheetViews>
  <sheetFormatPr baseColWidth="10" defaultRowHeight="16" x14ac:dyDescent="0.2"/>
  <sheetData>
    <row r="1" spans="1:1" ht="19" x14ac:dyDescent="0.25">
      <c r="A1" s="1" t="s">
        <v>170</v>
      </c>
    </row>
    <row r="2" spans="1:1" x14ac:dyDescent="0.2">
      <c r="A2" s="2" t="s">
        <v>171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72</vt:i4>
      </vt:variant>
    </vt:vector>
  </HeadingPairs>
  <TitlesOfParts>
    <vt:vector size="77" baseType="lpstr">
      <vt:lpstr>README</vt:lpstr>
      <vt:lpstr>Inputs</vt:lpstr>
      <vt:lpstr>MC Schedules</vt:lpstr>
      <vt:lpstr>Mix</vt:lpstr>
      <vt:lpstr>Charts</vt:lpstr>
      <vt:lpstr>anchor_tomato_q1</vt:lpstr>
      <vt:lpstr>anchor_tomato_q1_req</vt:lpstr>
      <vt:lpstr>anchor_tomato_q10</vt:lpstr>
      <vt:lpstr>anchor_tomato_q10_req</vt:lpstr>
      <vt:lpstr>beds_planted</vt:lpstr>
      <vt:lpstr>beds_total</vt:lpstr>
      <vt:lpstr>carrot_contribution</vt:lpstr>
      <vt:lpstr>carrot_crop_beds</vt:lpstr>
      <vt:lpstr>carrot_crop_cap</vt:lpstr>
      <vt:lpstr>carrot_crop_dim</vt:lpstr>
      <vt:lpstr>carrot_crop_fert</vt:lpstr>
      <vt:lpstr>carrot_crop_hrswk</vt:lpstr>
      <vt:lpstr>carrot_crop_price</vt:lpstr>
      <vt:lpstr>carrot_fert_cost</vt:lpstr>
      <vt:lpstr>carrot_labor_cost</vt:lpstr>
      <vt:lpstr>carrot_revenue</vt:lpstr>
      <vt:lpstr>check_errors_req</vt:lpstr>
      <vt:lpstr>check_errors_sched</vt:lpstr>
      <vt:lpstr>check_labor_sum</vt:lpstr>
      <vt:lpstr>check_wage_dollars</vt:lpstr>
      <vt:lpstr>check_wage_dollars_req</vt:lpstr>
      <vt:lpstr>crossing_carrot</vt:lpstr>
      <vt:lpstr>crossing_mesclun</vt:lpstr>
      <vt:lpstr>crossing_req_carrot</vt:lpstr>
      <vt:lpstr>crossing_req_mesclun</vt:lpstr>
      <vt:lpstr>crossing_req_tomato</vt:lpstr>
      <vt:lpstr>crossing_tomato</vt:lpstr>
      <vt:lpstr>farmer_field_pct</vt:lpstr>
      <vt:lpstr>farmer_hrs_field</vt:lpstr>
      <vt:lpstr>farmer_hrs_paid</vt:lpstr>
      <vt:lpstr>farmer_hrs_wk</vt:lpstr>
      <vt:lpstr>farmer_salary</vt:lpstr>
      <vt:lpstr>farmer_wage</vt:lpstr>
      <vt:lpstr>fert_total</vt:lpstr>
      <vt:lpstr>fixed_costs</vt:lpstr>
      <vt:lpstr>labor_cost_total</vt:lpstr>
      <vt:lpstr>labor_rate_blended</vt:lpstr>
      <vt:lpstr>mesclun_contribution</vt:lpstr>
      <vt:lpstr>mesclun_crop_beds</vt:lpstr>
      <vt:lpstr>mesclun_crop_cap</vt:lpstr>
      <vt:lpstr>mesclun_crop_dim</vt:lpstr>
      <vt:lpstr>mesclun_crop_fert</vt:lpstr>
      <vt:lpstr>mesclun_crop_hrswk</vt:lpstr>
      <vt:lpstr>mesclun_crop_price</vt:lpstr>
      <vt:lpstr>mesclun_fert_cost</vt:lpstr>
      <vt:lpstr>mesclun_labor_cost</vt:lpstr>
      <vt:lpstr>mesclun_revenue</vt:lpstr>
      <vt:lpstr>mix_hrs_carrot</vt:lpstr>
      <vt:lpstr>mix_hrs_mesclun</vt:lpstr>
      <vt:lpstr>mix_hrs_tomato</vt:lpstr>
      <vt:lpstr>mix_hrs_total</vt:lpstr>
      <vt:lpstr>perm_hrs_used</vt:lpstr>
      <vt:lpstr>revenue_total</vt:lpstr>
      <vt:lpstr>season_profit</vt:lpstr>
      <vt:lpstr>season_weeks</vt:lpstr>
      <vt:lpstr>temp_hrs_avail</vt:lpstr>
      <vt:lpstr>temp_hrs_each</vt:lpstr>
      <vt:lpstr>temp_hrs_used</vt:lpstr>
      <vt:lpstr>temp_max</vt:lpstr>
      <vt:lpstr>temp_salary</vt:lpstr>
      <vt:lpstr>temp_wage</vt:lpstr>
      <vt:lpstr>temp_workers_needed</vt:lpstr>
      <vt:lpstr>tomato_contribution</vt:lpstr>
      <vt:lpstr>tomato_crop_beds</vt:lpstr>
      <vt:lpstr>tomato_crop_cap</vt:lpstr>
      <vt:lpstr>tomato_crop_dim</vt:lpstr>
      <vt:lpstr>tomato_crop_fert</vt:lpstr>
      <vt:lpstr>tomato_crop_hrswk</vt:lpstr>
      <vt:lpstr>tomato_crop_price</vt:lpstr>
      <vt:lpstr>tomato_fert_cost</vt:lpstr>
      <vt:lpstr>tomato_labor_cost</vt:lpstr>
      <vt:lpstr>tomato_revenue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Allen Mehr</dc:creator>
  <cp:lastModifiedBy>Allen Mehr</cp:lastModifiedBy>
  <dcterms:created xsi:type="dcterms:W3CDTF">2026-08-28T03:54:58Z</dcterms:created>
  <dcterms:modified xsi:type="dcterms:W3CDTF">2026-08-28T04:25:21Z</dcterms:modified>
</cp:coreProperties>
</file>